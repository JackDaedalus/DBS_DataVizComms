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120" yWindow="288" windowWidth="11556" windowHeight="6288"/>
  </bookViews>
  <sheets>
    <sheet name="Post Release Bugs 2019+" sheetId="11" r:id="rId1"/>
    <sheet name="Post Release Bugs 2018+" sheetId="10" r:id="rId2"/>
    <sheet name="Post Release Bugs 2016+" sheetId="9" r:id="rId3"/>
    <sheet name="Post Release Bugs 2015+" sheetId="5" r:id="rId4"/>
    <sheet name="Post Release 2015+ (7.0.1+6.7)" sheetId="8" r:id="rId5"/>
    <sheet name="SNApps 2014+" sheetId="6" r:id="rId6"/>
  </sheets>
  <calcPr calcId="145621"/>
</workbook>
</file>

<file path=xl/calcChain.xml><?xml version="1.0" encoding="utf-8"?>
<calcChain xmlns="http://schemas.openxmlformats.org/spreadsheetml/2006/main">
  <c r="DA14" i="11" l="1"/>
  <c r="AB86" i="11" l="1"/>
  <c r="AB88" i="11" s="1"/>
  <c r="W86" i="11"/>
  <c r="W88" i="11" s="1"/>
  <c r="S86" i="11"/>
  <c r="C35" i="11" s="1"/>
  <c r="AN85" i="11"/>
  <c r="AL85" i="11"/>
  <c r="AJ85" i="11"/>
  <c r="AK54" i="11" s="1"/>
  <c r="AF85" i="11"/>
  <c r="AG68" i="11" s="1"/>
  <c r="AD85" i="11"/>
  <c r="AB85" i="11"/>
  <c r="W85" i="11"/>
  <c r="X70" i="11" s="1"/>
  <c r="U85" i="11"/>
  <c r="S85" i="11"/>
  <c r="O85" i="11"/>
  <c r="P60" i="11" s="1"/>
  <c r="M85" i="11"/>
  <c r="N84" i="11" s="1"/>
  <c r="K85" i="11"/>
  <c r="L68" i="11" s="1"/>
  <c r="AE84" i="11"/>
  <c r="AC84" i="11"/>
  <c r="X84" i="11"/>
  <c r="V84" i="11"/>
  <c r="T84" i="11"/>
  <c r="AK83" i="11"/>
  <c r="AG83" i="11"/>
  <c r="AE83" i="11"/>
  <c r="AC83" i="11"/>
  <c r="X83" i="11"/>
  <c r="V83" i="11"/>
  <c r="N83" i="11"/>
  <c r="L83" i="11"/>
  <c r="AO82" i="11"/>
  <c r="AE82" i="11"/>
  <c r="AC82" i="11"/>
  <c r="X82" i="11"/>
  <c r="V82" i="11"/>
  <c r="T82" i="11"/>
  <c r="AO81" i="11"/>
  <c r="AM81" i="11"/>
  <c r="AG81" i="11"/>
  <c r="AE81" i="11"/>
  <c r="AC81" i="11"/>
  <c r="X81" i="11"/>
  <c r="V81" i="11"/>
  <c r="T81" i="11"/>
  <c r="P81" i="11"/>
  <c r="N81" i="11"/>
  <c r="L81" i="11"/>
  <c r="AE80" i="11"/>
  <c r="AC80" i="11"/>
  <c r="X80" i="11"/>
  <c r="V80" i="11"/>
  <c r="T80" i="11"/>
  <c r="AM79" i="11"/>
  <c r="AK79" i="11"/>
  <c r="AG79" i="11"/>
  <c r="AE79" i="11"/>
  <c r="AC79" i="11"/>
  <c r="X79" i="11"/>
  <c r="V79" i="11"/>
  <c r="P79" i="11"/>
  <c r="N79" i="11"/>
  <c r="L79" i="11"/>
  <c r="AO78" i="11"/>
  <c r="AE78" i="11"/>
  <c r="AC78" i="11"/>
  <c r="X78" i="11"/>
  <c r="V78" i="11"/>
  <c r="T78" i="11"/>
  <c r="AO77" i="11"/>
  <c r="AM77" i="11"/>
  <c r="AG77" i="11"/>
  <c r="AE77" i="11"/>
  <c r="AC77" i="11"/>
  <c r="X77" i="11"/>
  <c r="V77" i="11"/>
  <c r="T77" i="11"/>
  <c r="P77" i="11"/>
  <c r="N77" i="11"/>
  <c r="L77" i="11"/>
  <c r="AO76" i="11"/>
  <c r="AE76" i="11"/>
  <c r="AC76" i="11"/>
  <c r="X76" i="11"/>
  <c r="V76" i="11"/>
  <c r="T76" i="11"/>
  <c r="AO75" i="11"/>
  <c r="AM75" i="11"/>
  <c r="AK75" i="11"/>
  <c r="AG75" i="11"/>
  <c r="AE75" i="11"/>
  <c r="AC75" i="11"/>
  <c r="X75" i="11"/>
  <c r="V75" i="11"/>
  <c r="T75" i="11"/>
  <c r="P75" i="11"/>
  <c r="N75" i="11"/>
  <c r="L75" i="11"/>
  <c r="AO74" i="11"/>
  <c r="AE74" i="11"/>
  <c r="AC74" i="11"/>
  <c r="X74" i="11"/>
  <c r="V74" i="11"/>
  <c r="T74" i="11"/>
  <c r="AO73" i="11"/>
  <c r="AM73" i="11"/>
  <c r="AG73" i="11"/>
  <c r="AE73" i="11"/>
  <c r="AC73" i="11"/>
  <c r="X73" i="11"/>
  <c r="V73" i="11"/>
  <c r="T73" i="11"/>
  <c r="P73" i="11"/>
  <c r="N73" i="11"/>
  <c r="L73" i="11"/>
  <c r="AO72" i="11"/>
  <c r="AE72" i="11"/>
  <c r="AC72" i="11"/>
  <c r="X72" i="11"/>
  <c r="V72" i="11"/>
  <c r="T72" i="11"/>
  <c r="AO71" i="11"/>
  <c r="AM71" i="11"/>
  <c r="AK71" i="11"/>
  <c r="AG71" i="11"/>
  <c r="AE71" i="11"/>
  <c r="AC71" i="11"/>
  <c r="X71" i="11"/>
  <c r="V71" i="11"/>
  <c r="T71" i="11"/>
  <c r="P71" i="11"/>
  <c r="N71" i="11"/>
  <c r="L71" i="11"/>
  <c r="AM70" i="11"/>
  <c r="AG70" i="11"/>
  <c r="AC70" i="11"/>
  <c r="V70" i="11"/>
  <c r="L70" i="11"/>
  <c r="AM69" i="11"/>
  <c r="AG69" i="11"/>
  <c r="AC69" i="11"/>
  <c r="X69" i="11"/>
  <c r="V69" i="11"/>
  <c r="L69" i="11"/>
  <c r="C69" i="11"/>
  <c r="C71" i="11" s="1"/>
  <c r="AO68" i="11"/>
  <c r="AE68" i="11"/>
  <c r="AC68" i="11"/>
  <c r="X68" i="11"/>
  <c r="V68" i="11"/>
  <c r="T68" i="11"/>
  <c r="N68" i="11"/>
  <c r="G68" i="11"/>
  <c r="E68" i="11"/>
  <c r="C68" i="11"/>
  <c r="D53" i="11" s="1"/>
  <c r="AO67" i="11"/>
  <c r="AG67" i="11"/>
  <c r="AC67" i="11"/>
  <c r="V67" i="11"/>
  <c r="T67" i="11"/>
  <c r="P67" i="11"/>
  <c r="L67" i="11"/>
  <c r="F67" i="11"/>
  <c r="AO66" i="11"/>
  <c r="AG66" i="11"/>
  <c r="AE66" i="11"/>
  <c r="AC66" i="11"/>
  <c r="X66" i="11"/>
  <c r="V66" i="11"/>
  <c r="T66" i="11"/>
  <c r="L66" i="11"/>
  <c r="H66" i="11"/>
  <c r="F66" i="11"/>
  <c r="D66" i="11"/>
  <c r="BT61" i="11"/>
  <c r="AM60" i="11"/>
  <c r="AG60" i="11"/>
  <c r="AC60" i="11"/>
  <c r="X60" i="11"/>
  <c r="V60" i="11"/>
  <c r="L60" i="11"/>
  <c r="F60" i="11"/>
  <c r="D60" i="11"/>
  <c r="AO59" i="11"/>
  <c r="AK59" i="11"/>
  <c r="AG59" i="11"/>
  <c r="AE59" i="11"/>
  <c r="AC59" i="11"/>
  <c r="X59" i="11"/>
  <c r="V59" i="11"/>
  <c r="T59" i="11"/>
  <c r="L59" i="11"/>
  <c r="H59" i="11"/>
  <c r="F59" i="11"/>
  <c r="D59" i="11"/>
  <c r="BY57" i="11"/>
  <c r="BW57" i="11"/>
  <c r="BU57" i="11"/>
  <c r="AO57" i="11"/>
  <c r="AE57" i="11"/>
  <c r="AC57" i="11"/>
  <c r="X57" i="11"/>
  <c r="V57" i="11"/>
  <c r="T57" i="11"/>
  <c r="N57" i="11"/>
  <c r="H57" i="11"/>
  <c r="F57" i="11"/>
  <c r="D57" i="11"/>
  <c r="AO56" i="11"/>
  <c r="AG56" i="11"/>
  <c r="AC56" i="11"/>
  <c r="X56" i="11"/>
  <c r="V56" i="11"/>
  <c r="T56" i="11"/>
  <c r="P56" i="11"/>
  <c r="L56" i="11"/>
  <c r="F56" i="11"/>
  <c r="AO55" i="11"/>
  <c r="AM55" i="11"/>
  <c r="AE55" i="11"/>
  <c r="AC55" i="11"/>
  <c r="X55" i="11"/>
  <c r="V55" i="11"/>
  <c r="T55" i="11"/>
  <c r="P55" i="11"/>
  <c r="N55" i="11"/>
  <c r="H55" i="11"/>
  <c r="F55" i="11"/>
  <c r="D55" i="11"/>
  <c r="AO54" i="11"/>
  <c r="AG54" i="11"/>
  <c r="AC54" i="11"/>
  <c r="V54" i="11"/>
  <c r="T54" i="11"/>
  <c r="P54" i="11"/>
  <c r="N54" i="11"/>
  <c r="L54" i="11"/>
  <c r="F54" i="11"/>
  <c r="AO53" i="11"/>
  <c r="AM53" i="11"/>
  <c r="AG53" i="11"/>
  <c r="AE53" i="11"/>
  <c r="AC53" i="11"/>
  <c r="X53" i="11"/>
  <c r="V53" i="11"/>
  <c r="T53" i="11"/>
  <c r="P53" i="11"/>
  <c r="L53" i="11"/>
  <c r="H53" i="11"/>
  <c r="F53" i="11"/>
  <c r="AG52" i="11"/>
  <c r="AE52" i="11"/>
  <c r="AC52" i="11"/>
  <c r="V52" i="11"/>
  <c r="P52" i="11"/>
  <c r="L52" i="11"/>
  <c r="H52" i="11"/>
  <c r="F52" i="11"/>
  <c r="AO51" i="11"/>
  <c r="AG51" i="11"/>
  <c r="AE51" i="11"/>
  <c r="AC51" i="11"/>
  <c r="X51" i="11"/>
  <c r="V51" i="11"/>
  <c r="T51" i="11"/>
  <c r="L51" i="11"/>
  <c r="H51" i="11"/>
  <c r="F51" i="11"/>
  <c r="C33" i="11"/>
  <c r="BT24" i="11"/>
  <c r="BT62" i="11" s="1"/>
  <c r="BT20" i="11"/>
  <c r="BT58" i="11" s="1"/>
  <c r="CZ19" i="11"/>
  <c r="CR19" i="11"/>
  <c r="BT23" i="11" s="1"/>
  <c r="CJ19" i="11"/>
  <c r="BT22" i="11" s="1"/>
  <c r="BT60" i="11" s="1"/>
  <c r="CB19" i="11"/>
  <c r="BT21" i="11" s="1"/>
  <c r="BT59" i="11" s="1"/>
  <c r="BT19" i="11"/>
  <c r="BJ19" i="11"/>
  <c r="BD15" i="11"/>
  <c r="BE7" i="11" s="1"/>
  <c r="BB15" i="11"/>
  <c r="AZ15" i="11"/>
  <c r="BA13" i="11" s="1"/>
  <c r="AV15" i="11"/>
  <c r="AW7" i="11" s="1"/>
  <c r="AT15" i="11"/>
  <c r="AU14" i="11" s="1"/>
  <c r="AR15" i="11"/>
  <c r="AS8" i="11" s="1"/>
  <c r="AN15" i="11"/>
  <c r="AL15" i="11"/>
  <c r="AM8" i="11" s="1"/>
  <c r="AJ15" i="11"/>
  <c r="AK13" i="11" s="1"/>
  <c r="AF15" i="11"/>
  <c r="AG14" i="11" s="1"/>
  <c r="AD15" i="11"/>
  <c r="AE13" i="11" s="1"/>
  <c r="AB15" i="11"/>
  <c r="AC11" i="11" s="1"/>
  <c r="O15" i="11"/>
  <c r="P12" i="11" s="1"/>
  <c r="M15" i="11"/>
  <c r="K15" i="11"/>
  <c r="L13" i="11" s="1"/>
  <c r="G15" i="11"/>
  <c r="H8" i="11" s="1"/>
  <c r="E15" i="11"/>
  <c r="F12" i="11" s="1"/>
  <c r="C15" i="11"/>
  <c r="D14" i="11" s="1"/>
  <c r="BC14" i="11"/>
  <c r="BA14" i="11"/>
  <c r="AO14" i="11"/>
  <c r="W14" i="11"/>
  <c r="U14" i="11"/>
  <c r="S14" i="11"/>
  <c r="L14" i="11"/>
  <c r="DE13" i="11"/>
  <c r="DC13" i="11"/>
  <c r="DA13" i="11"/>
  <c r="DB11" i="11" s="1"/>
  <c r="CW13" i="11"/>
  <c r="CU13" i="11"/>
  <c r="CS13" i="11"/>
  <c r="CT11" i="11" s="1"/>
  <c r="CO13" i="11"/>
  <c r="CM13" i="11"/>
  <c r="CK13" i="11"/>
  <c r="CL5" i="11" s="1"/>
  <c r="CG13" i="11"/>
  <c r="CE13" i="11"/>
  <c r="CC13" i="11"/>
  <c r="CD7" i="11" s="1"/>
  <c r="BO13" i="11"/>
  <c r="CX11" i="11" s="1"/>
  <c r="BM13" i="11"/>
  <c r="CN12" i="11" s="1"/>
  <c r="BK13" i="11"/>
  <c r="BL4" i="11" s="1"/>
  <c r="BC13" i="11"/>
  <c r="AS13" i="11"/>
  <c r="AG13" i="11"/>
  <c r="W13" i="11"/>
  <c r="U13" i="11"/>
  <c r="S13" i="11"/>
  <c r="H13" i="11"/>
  <c r="D13" i="11"/>
  <c r="DD12" i="11"/>
  <c r="CV12" i="11"/>
  <c r="CT12" i="11"/>
  <c r="CF12" i="11"/>
  <c r="CD12" i="11"/>
  <c r="BN12" i="11"/>
  <c r="BC12" i="11"/>
  <c r="AO12" i="11"/>
  <c r="AG12" i="11"/>
  <c r="AE12" i="11"/>
  <c r="AC12" i="11"/>
  <c r="W12" i="11"/>
  <c r="U12" i="11"/>
  <c r="S12" i="11"/>
  <c r="L12" i="11"/>
  <c r="DD11" i="11"/>
  <c r="CV11" i="11"/>
  <c r="CP11" i="11"/>
  <c r="CN11" i="11"/>
  <c r="CF11" i="11"/>
  <c r="CD11" i="11"/>
  <c r="BN11" i="11"/>
  <c r="BC11" i="11"/>
  <c r="BA11" i="11"/>
  <c r="AS11" i="11"/>
  <c r="AM11" i="11"/>
  <c r="AG11" i="11"/>
  <c r="W11" i="11"/>
  <c r="U11" i="11"/>
  <c r="S11" i="11"/>
  <c r="L11" i="11"/>
  <c r="H11" i="11"/>
  <c r="DD10" i="11"/>
  <c r="CV10" i="11"/>
  <c r="CT10" i="11"/>
  <c r="CF10" i="11"/>
  <c r="CD10" i="11"/>
  <c r="BP10" i="11"/>
  <c r="BN10" i="11"/>
  <c r="BC10" i="11"/>
  <c r="BA10" i="11"/>
  <c r="AS10" i="11"/>
  <c r="AO10" i="11"/>
  <c r="AG10" i="11"/>
  <c r="W10" i="11"/>
  <c r="U10" i="11"/>
  <c r="S10" i="11"/>
  <c r="P10" i="11"/>
  <c r="L10" i="11"/>
  <c r="DD9" i="11"/>
  <c r="CV9" i="11"/>
  <c r="CT9" i="11"/>
  <c r="CN9" i="11"/>
  <c r="CF9" i="11"/>
  <c r="CD9" i="11"/>
  <c r="BN9" i="11"/>
  <c r="BC9" i="11"/>
  <c r="AS9" i="11"/>
  <c r="AO9" i="11"/>
  <c r="AM9" i="11"/>
  <c r="AG9" i="11"/>
  <c r="AC9" i="11"/>
  <c r="W9" i="11"/>
  <c r="U9" i="11"/>
  <c r="S9" i="11"/>
  <c r="L9" i="11"/>
  <c r="DD8" i="11"/>
  <c r="CV8" i="11"/>
  <c r="CT8" i="11"/>
  <c r="CH8" i="11"/>
  <c r="CF8" i="11"/>
  <c r="CD8" i="11"/>
  <c r="BN8" i="11"/>
  <c r="BC8" i="11"/>
  <c r="BA8" i="11"/>
  <c r="AO8" i="11"/>
  <c r="AG8" i="11"/>
  <c r="W8" i="11"/>
  <c r="U8" i="11"/>
  <c r="S8" i="11"/>
  <c r="L8" i="11"/>
  <c r="DD7" i="11"/>
  <c r="CV7" i="11"/>
  <c r="CT7" i="11"/>
  <c r="CP7" i="11"/>
  <c r="CF7" i="11"/>
  <c r="BN7" i="11"/>
  <c r="BC7" i="11"/>
  <c r="AS7" i="11"/>
  <c r="AO7" i="11"/>
  <c r="AM7" i="11"/>
  <c r="AG7" i="11"/>
  <c r="W7" i="11"/>
  <c r="U7" i="11"/>
  <c r="S7" i="11"/>
  <c r="L7" i="11"/>
  <c r="H7" i="11"/>
  <c r="DD6" i="11"/>
  <c r="CV6" i="11"/>
  <c r="CT6" i="11"/>
  <c r="CN6" i="11"/>
  <c r="CH6" i="11"/>
  <c r="CF6" i="11"/>
  <c r="CD6" i="11"/>
  <c r="BN6" i="11"/>
  <c r="BC6" i="11"/>
  <c r="AM6" i="11"/>
  <c r="AG6" i="11"/>
  <c r="W6" i="11"/>
  <c r="U6" i="11"/>
  <c r="S6" i="11"/>
  <c r="L6" i="11"/>
  <c r="D6" i="11"/>
  <c r="DD5" i="11"/>
  <c r="CV5" i="11"/>
  <c r="CT5" i="11"/>
  <c r="CN5" i="11"/>
  <c r="CH5" i="11"/>
  <c r="CF5" i="11"/>
  <c r="BN5" i="11"/>
  <c r="BC5" i="11"/>
  <c r="AS5" i="11"/>
  <c r="AG5" i="11"/>
  <c r="AE5" i="11"/>
  <c r="W5" i="11"/>
  <c r="U5" i="11"/>
  <c r="S5" i="11"/>
  <c r="L5" i="11"/>
  <c r="DF4" i="11"/>
  <c r="DD4" i="11"/>
  <c r="CX4" i="11"/>
  <c r="CV4" i="11"/>
  <c r="CT4" i="11"/>
  <c r="CN4" i="11"/>
  <c r="CF4" i="11"/>
  <c r="CD4" i="11"/>
  <c r="BN4" i="11"/>
  <c r="BC4" i="11"/>
  <c r="AS4" i="11"/>
  <c r="AG4" i="11"/>
  <c r="AE4" i="11"/>
  <c r="AC4" i="11"/>
  <c r="W4" i="11"/>
  <c r="U4" i="11"/>
  <c r="S4" i="11"/>
  <c r="L4" i="11"/>
  <c r="CO14" i="11" l="1"/>
  <c r="CO19" i="11" s="1"/>
  <c r="BY22" i="11" s="1"/>
  <c r="BY60" i="11" s="1"/>
  <c r="P14" i="11"/>
  <c r="AM4" i="11"/>
  <c r="CL4" i="11"/>
  <c r="P5" i="11"/>
  <c r="AW5" i="11"/>
  <c r="AE6" i="11"/>
  <c r="P7" i="11"/>
  <c r="H9" i="11"/>
  <c r="AM12" i="11"/>
  <c r="CL12" i="11"/>
  <c r="P13" i="11"/>
  <c r="P4" i="11"/>
  <c r="CL6" i="11"/>
  <c r="AE10" i="11"/>
  <c r="CU14" i="11"/>
  <c r="CU19" i="11" s="1"/>
  <c r="BW23" i="11" s="1"/>
  <c r="BW61" i="11" s="1"/>
  <c r="AW4" i="11"/>
  <c r="AW12" i="11"/>
  <c r="AC13" i="11"/>
  <c r="BA4" i="11"/>
  <c r="CD5" i="11"/>
  <c r="BA6" i="11"/>
  <c r="H10" i="11"/>
  <c r="AM10" i="11"/>
  <c r="BA12" i="11"/>
  <c r="AE14" i="11"/>
  <c r="AW9" i="11"/>
  <c r="AD16" i="11"/>
  <c r="AC5" i="11"/>
  <c r="P6" i="11"/>
  <c r="AC7" i="11"/>
  <c r="CH11" i="11"/>
  <c r="AM13" i="11"/>
  <c r="F6" i="11"/>
  <c r="P9" i="11"/>
  <c r="P11" i="11"/>
  <c r="AU11" i="11"/>
  <c r="CS14" i="11"/>
  <c r="CS16" i="11" s="1"/>
  <c r="H4" i="11"/>
  <c r="BP4" i="11"/>
  <c r="DB4" i="11"/>
  <c r="BA5" i="11"/>
  <c r="AU6" i="11"/>
  <c r="CN7" i="11"/>
  <c r="P8" i="11"/>
  <c r="CN8" i="11"/>
  <c r="CP9" i="11"/>
  <c r="CN10" i="11"/>
  <c r="AW11" i="11"/>
  <c r="CL11" i="11"/>
  <c r="BE5" i="11"/>
  <c r="BL9" i="11"/>
  <c r="DC14" i="11"/>
  <c r="DC16" i="11" s="1"/>
  <c r="H5" i="11"/>
  <c r="BL5" i="11"/>
  <c r="CX5" i="11"/>
  <c r="BL6" i="11"/>
  <c r="BL8" i="11"/>
  <c r="CX9" i="11"/>
  <c r="DB10" i="11"/>
  <c r="AE11" i="11"/>
  <c r="BL11" i="11"/>
  <c r="CX12" i="11"/>
  <c r="AM14" i="11"/>
  <c r="AF16" i="11"/>
  <c r="CG14" i="11"/>
  <c r="CG16" i="11" s="1"/>
  <c r="U15" i="11"/>
  <c r="V4" i="11" s="1"/>
  <c r="AM5" i="11"/>
  <c r="DB5" i="11"/>
  <c r="CX6" i="11"/>
  <c r="BL7" i="11"/>
  <c r="DB7" i="11"/>
  <c r="AE8" i="11"/>
  <c r="F9" i="11"/>
  <c r="BP9" i="11"/>
  <c r="DB9" i="11"/>
  <c r="DB12" i="11"/>
  <c r="CM14" i="11"/>
  <c r="CM19" i="11" s="1"/>
  <c r="BW22" i="11" s="1"/>
  <c r="BW60" i="11" s="1"/>
  <c r="AU5" i="11"/>
  <c r="DF6" i="11"/>
  <c r="F10" i="11"/>
  <c r="V9" i="11"/>
  <c r="V12" i="11"/>
  <c r="W15" i="11"/>
  <c r="X13" i="11" s="1"/>
  <c r="X4" i="11"/>
  <c r="CG19" i="11"/>
  <c r="BY21" i="11" s="1"/>
  <c r="BY59" i="11" s="1"/>
  <c r="AK9" i="11"/>
  <c r="AK11" i="11"/>
  <c r="AK10" i="11"/>
  <c r="AK4" i="11"/>
  <c r="AL16" i="11"/>
  <c r="AK8" i="11"/>
  <c r="AJ16" i="11"/>
  <c r="AK14" i="11"/>
  <c r="AK7" i="11"/>
  <c r="AK6" i="11"/>
  <c r="BE9" i="11"/>
  <c r="BE11" i="11"/>
  <c r="BB16" i="11"/>
  <c r="BE12" i="11"/>
  <c r="BE6" i="11"/>
  <c r="BE4" i="11"/>
  <c r="BE13" i="11"/>
  <c r="BE10" i="11"/>
  <c r="BE8" i="11"/>
  <c r="AK5" i="11"/>
  <c r="DE14" i="11"/>
  <c r="AD18" i="11"/>
  <c r="E30" i="11"/>
  <c r="V6" i="11"/>
  <c r="V5" i="11"/>
  <c r="V7" i="11"/>
  <c r="V8" i="11"/>
  <c r="N14" i="11"/>
  <c r="N8" i="11"/>
  <c r="N7" i="11"/>
  <c r="N13" i="11"/>
  <c r="N6" i="11"/>
  <c r="N12" i="11"/>
  <c r="N11" i="11"/>
  <c r="O16" i="11"/>
  <c r="M16" i="11"/>
  <c r="K16" i="11"/>
  <c r="N10" i="11"/>
  <c r="N9" i="11"/>
  <c r="N4" i="11"/>
  <c r="N5" i="11"/>
  <c r="BD16" i="11"/>
  <c r="V11" i="11"/>
  <c r="AK12" i="11"/>
  <c r="V14" i="11"/>
  <c r="BE14" i="11"/>
  <c r="S15" i="11"/>
  <c r="T13" i="11" s="1"/>
  <c r="V10" i="11"/>
  <c r="AU4" i="11"/>
  <c r="CP8" i="11"/>
  <c r="AU10" i="11"/>
  <c r="D11" i="11"/>
  <c r="DF11" i="11"/>
  <c r="BM14" i="11"/>
  <c r="AO11" i="11"/>
  <c r="AN16" i="11"/>
  <c r="AO13" i="11"/>
  <c r="G16" i="11"/>
  <c r="G35" i="11"/>
  <c r="AK51" i="11"/>
  <c r="AK57" i="11"/>
  <c r="AK68" i="11"/>
  <c r="CH4" i="11"/>
  <c r="DF5" i="11"/>
  <c r="AO6" i="11"/>
  <c r="BP7" i="11"/>
  <c r="AC10" i="11"/>
  <c r="AW10" i="11"/>
  <c r="CH10" i="11"/>
  <c r="AU12" i="11"/>
  <c r="CH12" i="11"/>
  <c r="DF12" i="11"/>
  <c r="V13" i="11"/>
  <c r="AW13" i="11"/>
  <c r="CE14" i="11"/>
  <c r="DB6" i="11"/>
  <c r="DB8" i="11"/>
  <c r="CC14" i="11"/>
  <c r="AS12" i="11"/>
  <c r="AS14" i="11"/>
  <c r="AS6" i="11"/>
  <c r="C36" i="11"/>
  <c r="N51" i="11"/>
  <c r="N53" i="11"/>
  <c r="AK53" i="11"/>
  <c r="AK55" i="11"/>
  <c r="H67" i="11"/>
  <c r="H54" i="11"/>
  <c r="G69" i="11"/>
  <c r="H60" i="11"/>
  <c r="H56" i="11"/>
  <c r="AK70" i="11"/>
  <c r="N72" i="11"/>
  <c r="N76" i="11"/>
  <c r="N80" i="11"/>
  <c r="AN86" i="11"/>
  <c r="AK73" i="11"/>
  <c r="AK77" i="11"/>
  <c r="AK81" i="11"/>
  <c r="N67" i="11"/>
  <c r="N69" i="11"/>
  <c r="N60" i="11"/>
  <c r="N56" i="11"/>
  <c r="M86" i="11"/>
  <c r="D5" i="11"/>
  <c r="CP5" i="11"/>
  <c r="DF7" i="11"/>
  <c r="CX8" i="11"/>
  <c r="CL8" i="11"/>
  <c r="CL10" i="11"/>
  <c r="CK14" i="11"/>
  <c r="F11" i="11"/>
  <c r="F13" i="11"/>
  <c r="AC14" i="11"/>
  <c r="AC6" i="11"/>
  <c r="AC8" i="11"/>
  <c r="AV16" i="11"/>
  <c r="AK52" i="11"/>
  <c r="N59" i="11"/>
  <c r="N66" i="11"/>
  <c r="AK66" i="11"/>
  <c r="E69" i="11"/>
  <c r="AK74" i="11"/>
  <c r="AK78" i="11"/>
  <c r="AK82" i="11"/>
  <c r="P68" i="11"/>
  <c r="O86" i="11"/>
  <c r="P84" i="11"/>
  <c r="P82" i="11"/>
  <c r="P80" i="11"/>
  <c r="P78" i="11"/>
  <c r="P76" i="11"/>
  <c r="P74" i="11"/>
  <c r="P72" i="11"/>
  <c r="P57" i="11"/>
  <c r="P59" i="11"/>
  <c r="P51" i="11"/>
  <c r="AM68" i="11"/>
  <c r="AL86" i="11"/>
  <c r="AM84" i="11"/>
  <c r="AM82" i="11"/>
  <c r="AM80" i="11"/>
  <c r="AM78" i="11"/>
  <c r="AM76" i="11"/>
  <c r="AM74" i="11"/>
  <c r="AM72" i="11"/>
  <c r="AM57" i="11"/>
  <c r="AM59" i="11"/>
  <c r="AM51" i="11"/>
  <c r="D4" i="11"/>
  <c r="CP4" i="11"/>
  <c r="F5" i="11"/>
  <c r="AO5" i="11"/>
  <c r="F7" i="11"/>
  <c r="CL7" i="11"/>
  <c r="D8" i="11"/>
  <c r="BP11" i="11"/>
  <c r="H12" i="11"/>
  <c r="H14" i="11"/>
  <c r="H6" i="11"/>
  <c r="AE7" i="11"/>
  <c r="AE9" i="11"/>
  <c r="BA7" i="11"/>
  <c r="BA9" i="11"/>
  <c r="AZ16" i="11"/>
  <c r="AM52" i="11"/>
  <c r="D56" i="11"/>
  <c r="P66" i="11"/>
  <c r="AM66" i="11"/>
  <c r="N70" i="11"/>
  <c r="U86" i="11"/>
  <c r="T69" i="11"/>
  <c r="T60" i="11"/>
  <c r="T70" i="11"/>
  <c r="T52" i="11"/>
  <c r="AO69" i="11"/>
  <c r="AO60" i="11"/>
  <c r="AO70" i="11"/>
  <c r="AO52" i="11"/>
  <c r="S88" i="11"/>
  <c r="C16" i="11"/>
  <c r="D10" i="11"/>
  <c r="D12" i="11"/>
  <c r="AT16" i="11"/>
  <c r="AU13" i="11"/>
  <c r="AU7" i="11"/>
  <c r="AR16" i="11"/>
  <c r="AK67" i="11"/>
  <c r="AK69" i="11"/>
  <c r="AK60" i="11"/>
  <c r="AK56" i="11"/>
  <c r="AJ86" i="11"/>
  <c r="D7" i="11"/>
  <c r="BP8" i="11"/>
  <c r="AW14" i="11"/>
  <c r="AW6" i="11"/>
  <c r="AW8" i="11"/>
  <c r="F4" i="11"/>
  <c r="AO4" i="11"/>
  <c r="BP5" i="11"/>
  <c r="CP6" i="11"/>
  <c r="F8" i="11"/>
  <c r="AU8" i="11"/>
  <c r="D9" i="11"/>
  <c r="AU9" i="11"/>
  <c r="CL9" i="11"/>
  <c r="DF9" i="11"/>
  <c r="CX10" i="11"/>
  <c r="BL10" i="11"/>
  <c r="BL12" i="11"/>
  <c r="F14" i="11"/>
  <c r="AB16" i="11"/>
  <c r="D51" i="11"/>
  <c r="N52" i="11"/>
  <c r="AM54" i="11"/>
  <c r="AM56" i="11"/>
  <c r="AM67" i="11"/>
  <c r="P69" i="11"/>
  <c r="P70" i="11"/>
  <c r="N74" i="11"/>
  <c r="N78" i="11"/>
  <c r="N82" i="11"/>
  <c r="BP12" i="11"/>
  <c r="CP10" i="11"/>
  <c r="DF8" i="11"/>
  <c r="CH7" i="11"/>
  <c r="BO14" i="11"/>
  <c r="CP12" i="11"/>
  <c r="DF10" i="11"/>
  <c r="CH9" i="11"/>
  <c r="CX7" i="11"/>
  <c r="BP6" i="11"/>
  <c r="BK14" i="11"/>
  <c r="CW14" i="11"/>
  <c r="E16" i="11"/>
  <c r="D52" i="11"/>
  <c r="D67" i="11"/>
  <c r="D54" i="11"/>
  <c r="AK72" i="11"/>
  <c r="AK76" i="11"/>
  <c r="AK80" i="11"/>
  <c r="P83" i="11"/>
  <c r="AM83" i="11"/>
  <c r="AK84" i="11"/>
  <c r="T79" i="11"/>
  <c r="AO79" i="11"/>
  <c r="AO80" i="11"/>
  <c r="T83" i="11"/>
  <c r="AO83" i="11"/>
  <c r="AO84" i="11"/>
  <c r="AE70" i="11"/>
  <c r="AE67" i="11"/>
  <c r="AE54" i="11"/>
  <c r="AE69" i="11"/>
  <c r="AE60" i="11"/>
  <c r="AE56" i="11"/>
  <c r="AD86" i="11"/>
  <c r="X54" i="11"/>
  <c r="L57" i="11"/>
  <c r="AG57" i="11"/>
  <c r="X67" i="11"/>
  <c r="L72" i="11"/>
  <c r="AG72" i="11"/>
  <c r="L74" i="11"/>
  <c r="AG74" i="11"/>
  <c r="L76" i="11"/>
  <c r="AG76" i="11"/>
  <c r="L78" i="11"/>
  <c r="AG78" i="11"/>
  <c r="L80" i="11"/>
  <c r="AG80" i="11"/>
  <c r="L82" i="11"/>
  <c r="AG82" i="11"/>
  <c r="L84" i="11"/>
  <c r="AG84" i="11"/>
  <c r="K86" i="11"/>
  <c r="AF86" i="11"/>
  <c r="X52" i="11"/>
  <c r="L55" i="11"/>
  <c r="AG55" i="11"/>
  <c r="BY58" i="10"/>
  <c r="BW58" i="10"/>
  <c r="BU58" i="10"/>
  <c r="BT58" i="10"/>
  <c r="CO16" i="11" l="1"/>
  <c r="X11" i="11"/>
  <c r="CM16" i="11"/>
  <c r="CU16" i="11"/>
  <c r="X7" i="11"/>
  <c r="X10" i="11"/>
  <c r="CS19" i="11"/>
  <c r="BU23" i="11" s="1"/>
  <c r="BU61" i="11" s="1"/>
  <c r="X9" i="11"/>
  <c r="DC19" i="11"/>
  <c r="BW24" i="11" s="1"/>
  <c r="BW62" i="11" s="1"/>
  <c r="G30" i="11"/>
  <c r="AF18" i="11"/>
  <c r="AD88" i="11"/>
  <c r="E36" i="11"/>
  <c r="BK16" i="11"/>
  <c r="BK19" i="11"/>
  <c r="BU20" i="11" s="1"/>
  <c r="BU58" i="11" s="1"/>
  <c r="T11" i="11"/>
  <c r="G71" i="11"/>
  <c r="G33" i="11"/>
  <c r="G18" i="11"/>
  <c r="G27" i="11"/>
  <c r="AF88" i="11"/>
  <c r="G36" i="11"/>
  <c r="C37" i="11"/>
  <c r="AJ88" i="11"/>
  <c r="E32" i="11"/>
  <c r="AT18" i="11"/>
  <c r="E34" i="11"/>
  <c r="M88" i="11"/>
  <c r="G37" i="11"/>
  <c r="AN88" i="11"/>
  <c r="DE19" i="11"/>
  <c r="BY24" i="11" s="1"/>
  <c r="BY62" i="11" s="1"/>
  <c r="DE16" i="11"/>
  <c r="BB20" i="11"/>
  <c r="BW19" i="11" s="1"/>
  <c r="BB18" i="11"/>
  <c r="E31" i="11"/>
  <c r="AL18" i="11"/>
  <c r="K88" i="11"/>
  <c r="C34" i="11"/>
  <c r="C30" i="11"/>
  <c r="AB18" i="11"/>
  <c r="O88" i="11"/>
  <c r="G34" i="11"/>
  <c r="CK19" i="11"/>
  <c r="BU22" i="11" s="1"/>
  <c r="BU60" i="11" s="1"/>
  <c r="CK16" i="11"/>
  <c r="G31" i="11"/>
  <c r="AN18" i="11"/>
  <c r="T6" i="11"/>
  <c r="T14" i="11"/>
  <c r="E27" i="11"/>
  <c r="E18" i="11"/>
  <c r="BO19" i="11"/>
  <c r="BY20" i="11" s="1"/>
  <c r="BY58" i="11" s="1"/>
  <c r="BO16" i="11"/>
  <c r="CC16" i="11"/>
  <c r="CC19" i="11"/>
  <c r="BU21" i="11" s="1"/>
  <c r="BU59" i="11" s="1"/>
  <c r="C28" i="11"/>
  <c r="K18" i="11"/>
  <c r="CW16" i="11"/>
  <c r="CW19" i="11"/>
  <c r="BY23" i="11" s="1"/>
  <c r="BY61" i="11" s="1"/>
  <c r="C27" i="11"/>
  <c r="C18" i="11"/>
  <c r="AZ18" i="11"/>
  <c r="AZ20" i="11"/>
  <c r="BU19" i="11" s="1"/>
  <c r="AV18" i="11"/>
  <c r="G32" i="11"/>
  <c r="BM16" i="11"/>
  <c r="BM19" i="11"/>
  <c r="BW20" i="11" s="1"/>
  <c r="BW58" i="11" s="1"/>
  <c r="M18" i="11"/>
  <c r="E28" i="11"/>
  <c r="W16" i="11"/>
  <c r="X14" i="11"/>
  <c r="X6" i="11"/>
  <c r="X8" i="11"/>
  <c r="X5" i="11"/>
  <c r="X12" i="11"/>
  <c r="S16" i="11"/>
  <c r="T10" i="11"/>
  <c r="T12" i="11"/>
  <c r="T8" i="11"/>
  <c r="T7" i="11"/>
  <c r="T5" i="11"/>
  <c r="O18" i="11"/>
  <c r="G28" i="11"/>
  <c r="T9" i="11"/>
  <c r="AR18" i="11"/>
  <c r="C32" i="11"/>
  <c r="U88" i="11"/>
  <c r="E35" i="11"/>
  <c r="AL88" i="11"/>
  <c r="E37" i="11"/>
  <c r="DA19" i="11"/>
  <c r="BU24" i="11" s="1"/>
  <c r="BU62" i="11" s="1"/>
  <c r="DA16" i="11"/>
  <c r="T4" i="11"/>
  <c r="BD18" i="11"/>
  <c r="BD20" i="11"/>
  <c r="BY19" i="11" s="1"/>
  <c r="U16" i="11"/>
  <c r="E71" i="11"/>
  <c r="E33" i="11"/>
  <c r="CE19" i="11"/>
  <c r="BW21" i="11" s="1"/>
  <c r="BW59" i="11" s="1"/>
  <c r="CE16" i="11"/>
  <c r="AJ18" i="11"/>
  <c r="C31" i="11"/>
  <c r="BT61" i="10"/>
  <c r="BT62" i="10"/>
  <c r="BT24" i="10"/>
  <c r="CZ19" i="10"/>
  <c r="DE13" i="10"/>
  <c r="DC13" i="10"/>
  <c r="DA13" i="10"/>
  <c r="DF12" i="10"/>
  <c r="DD12" i="10"/>
  <c r="DF11" i="10"/>
  <c r="DD11" i="10"/>
  <c r="DF10" i="10"/>
  <c r="DD10" i="10"/>
  <c r="DF9" i="10"/>
  <c r="DD9" i="10"/>
  <c r="DF8" i="10"/>
  <c r="DD8" i="10"/>
  <c r="DF7" i="10"/>
  <c r="DD7" i="10"/>
  <c r="DF6" i="10"/>
  <c r="DD6" i="10"/>
  <c r="DF5" i="10"/>
  <c r="DD5" i="10"/>
  <c r="DF4" i="10"/>
  <c r="DD4" i="10"/>
  <c r="C29" i="11" l="1"/>
  <c r="S18" i="11"/>
  <c r="G29" i="11"/>
  <c r="W18" i="11"/>
  <c r="U18" i="11"/>
  <c r="E29" i="11"/>
  <c r="DB9" i="10"/>
  <c r="DE14" i="10"/>
  <c r="DA14" i="10"/>
  <c r="DC14" i="10"/>
  <c r="DB7" i="10"/>
  <c r="DB5" i="10"/>
  <c r="DB10" i="10"/>
  <c r="DB4" i="10"/>
  <c r="DB12" i="10"/>
  <c r="DB8" i="10"/>
  <c r="DB11" i="10"/>
  <c r="DB6" i="10"/>
  <c r="BT60" i="10"/>
  <c r="BT59" i="10"/>
  <c r="BW57" i="10"/>
  <c r="BY57" i="10"/>
  <c r="BU57" i="10"/>
  <c r="AN86" i="10"/>
  <c r="AL86" i="10"/>
  <c r="O86" i="10"/>
  <c r="M86" i="10"/>
  <c r="AN85" i="10"/>
  <c r="AO82" i="10" s="1"/>
  <c r="AL85" i="10"/>
  <c r="AM59" i="10" s="1"/>
  <c r="AJ85" i="10"/>
  <c r="AK57" i="10" s="1"/>
  <c r="AF85" i="10"/>
  <c r="AD85" i="10"/>
  <c r="AB85" i="10"/>
  <c r="AC84" i="10" s="1"/>
  <c r="W85" i="10"/>
  <c r="U85" i="10"/>
  <c r="S85" i="10"/>
  <c r="T79" i="10" s="1"/>
  <c r="O85" i="10"/>
  <c r="P59" i="10" s="1"/>
  <c r="M85" i="10"/>
  <c r="N57" i="10" s="1"/>
  <c r="K85" i="10"/>
  <c r="L79" i="10" s="1"/>
  <c r="AM84" i="10"/>
  <c r="AK84" i="10"/>
  <c r="AE84" i="10"/>
  <c r="V84" i="10"/>
  <c r="T84" i="10"/>
  <c r="N84" i="10"/>
  <c r="AO83" i="10"/>
  <c r="AM83" i="10"/>
  <c r="AK83" i="10"/>
  <c r="AG83" i="10"/>
  <c r="AE83" i="10"/>
  <c r="V83" i="10"/>
  <c r="T83" i="10"/>
  <c r="P83" i="10"/>
  <c r="N83" i="10"/>
  <c r="AM82" i="10"/>
  <c r="AK82" i="10"/>
  <c r="AE82" i="10"/>
  <c r="AC82" i="10"/>
  <c r="V82" i="10"/>
  <c r="T82" i="10"/>
  <c r="N82" i="10"/>
  <c r="AM81" i="10"/>
  <c r="AK81" i="10"/>
  <c r="AG81" i="10"/>
  <c r="AE81" i="10"/>
  <c r="V81" i="10"/>
  <c r="P81" i="10"/>
  <c r="N81" i="10"/>
  <c r="L81" i="10"/>
  <c r="AO80" i="10"/>
  <c r="AM80" i="10"/>
  <c r="AK80" i="10"/>
  <c r="AE80" i="10"/>
  <c r="V80" i="10"/>
  <c r="T80" i="10"/>
  <c r="N80" i="10"/>
  <c r="AM79" i="10"/>
  <c r="AK79" i="10"/>
  <c r="AG79" i="10"/>
  <c r="AE79" i="10"/>
  <c r="AC79" i="10"/>
  <c r="V79" i="10"/>
  <c r="P79" i="10"/>
  <c r="N79" i="10"/>
  <c r="AO78" i="10"/>
  <c r="AM78" i="10"/>
  <c r="AK78" i="10"/>
  <c r="AE78" i="10"/>
  <c r="V78" i="10"/>
  <c r="T78" i="10"/>
  <c r="P78" i="10"/>
  <c r="N78" i="10"/>
  <c r="AO77" i="10"/>
  <c r="AM77" i="10"/>
  <c r="AK77" i="10"/>
  <c r="AG77" i="10"/>
  <c r="AE77" i="10"/>
  <c r="AC77" i="10"/>
  <c r="V77" i="10"/>
  <c r="T77" i="10"/>
  <c r="P77" i="10"/>
  <c r="N77" i="10"/>
  <c r="AM76" i="10"/>
  <c r="AK76" i="10"/>
  <c r="AE76" i="10"/>
  <c r="V76" i="10"/>
  <c r="T76" i="10"/>
  <c r="N76" i="10"/>
  <c r="AO75" i="10"/>
  <c r="AM75" i="10"/>
  <c r="AK75" i="10"/>
  <c r="AG75" i="10"/>
  <c r="AE75" i="10"/>
  <c r="AC75" i="10"/>
  <c r="V75" i="10"/>
  <c r="T75" i="10"/>
  <c r="P75" i="10"/>
  <c r="N75" i="10"/>
  <c r="AO74" i="10"/>
  <c r="AM74" i="10"/>
  <c r="AK74" i="10"/>
  <c r="AE74" i="10"/>
  <c r="AC74" i="10"/>
  <c r="V74" i="10"/>
  <c r="T74" i="10"/>
  <c r="N74" i="10"/>
  <c r="AM73" i="10"/>
  <c r="AK73" i="10"/>
  <c r="AG73" i="10"/>
  <c r="AE73" i="10"/>
  <c r="V73" i="10"/>
  <c r="P73" i="10"/>
  <c r="N73" i="10"/>
  <c r="L73" i="10"/>
  <c r="AO72" i="10"/>
  <c r="AM72" i="10"/>
  <c r="AK72" i="10"/>
  <c r="AE72" i="10"/>
  <c r="V72" i="10"/>
  <c r="T72" i="10"/>
  <c r="N72" i="10"/>
  <c r="AO71" i="10"/>
  <c r="AM71" i="10"/>
  <c r="AK71" i="10"/>
  <c r="AG71" i="10"/>
  <c r="AE71" i="10"/>
  <c r="AC71" i="10"/>
  <c r="V71" i="10"/>
  <c r="T71" i="10"/>
  <c r="P71" i="10"/>
  <c r="N71" i="10"/>
  <c r="E71" i="10"/>
  <c r="AM70" i="10"/>
  <c r="AK70" i="10"/>
  <c r="AG70" i="10"/>
  <c r="AE70" i="10"/>
  <c r="AC70" i="10"/>
  <c r="X70" i="10"/>
  <c r="V70" i="10"/>
  <c r="N70" i="10"/>
  <c r="AO69" i="10"/>
  <c r="AK69" i="10"/>
  <c r="AG69" i="10"/>
  <c r="AC69" i="10"/>
  <c r="V69" i="10"/>
  <c r="T69" i="10"/>
  <c r="P69" i="10"/>
  <c r="N69" i="10"/>
  <c r="E69" i="10"/>
  <c r="E33" i="10" s="1"/>
  <c r="C69" i="10"/>
  <c r="C71" i="10" s="1"/>
  <c r="AO68" i="10"/>
  <c r="AM68" i="10"/>
  <c r="AK68" i="10"/>
  <c r="AG68" i="10"/>
  <c r="AE68" i="10"/>
  <c r="V68" i="10"/>
  <c r="T68" i="10"/>
  <c r="N68" i="10"/>
  <c r="G68" i="10"/>
  <c r="E68" i="10"/>
  <c r="C68" i="10"/>
  <c r="D57" i="10" s="1"/>
  <c r="AO67" i="10"/>
  <c r="AM67" i="10"/>
  <c r="AK67" i="10"/>
  <c r="AG67" i="10"/>
  <c r="AE67" i="10"/>
  <c r="AC67" i="10"/>
  <c r="V67" i="10"/>
  <c r="T67" i="10"/>
  <c r="P67" i="10"/>
  <c r="N67" i="10"/>
  <c r="F67" i="10"/>
  <c r="AO66" i="10"/>
  <c r="AK66" i="10"/>
  <c r="AG66" i="10"/>
  <c r="AE66" i="10"/>
  <c r="V66" i="10"/>
  <c r="T66" i="10"/>
  <c r="N66" i="10"/>
  <c r="L66" i="10"/>
  <c r="H66" i="10"/>
  <c r="F66" i="10"/>
  <c r="AK60" i="10"/>
  <c r="AG60" i="10"/>
  <c r="AE60" i="10"/>
  <c r="AC60" i="10"/>
  <c r="V60" i="10"/>
  <c r="P60" i="10"/>
  <c r="N60" i="10"/>
  <c r="F60" i="10"/>
  <c r="D60" i="10"/>
  <c r="AO59" i="10"/>
  <c r="AK59" i="10"/>
  <c r="AG59" i="10"/>
  <c r="AE59" i="10"/>
  <c r="AC59" i="10"/>
  <c r="V59" i="10"/>
  <c r="T59" i="10"/>
  <c r="N59" i="10"/>
  <c r="F59" i="10"/>
  <c r="AO57" i="10"/>
  <c r="AM57" i="10"/>
  <c r="AG57" i="10"/>
  <c r="AE57" i="10"/>
  <c r="V57" i="10"/>
  <c r="T57" i="10"/>
  <c r="H57" i="10"/>
  <c r="F57" i="10"/>
  <c r="AO56" i="10"/>
  <c r="AK56" i="10"/>
  <c r="AE56" i="10"/>
  <c r="AC56" i="10"/>
  <c r="V56" i="10"/>
  <c r="T56" i="10"/>
  <c r="P56" i="10"/>
  <c r="N56" i="10"/>
  <c r="H56" i="10"/>
  <c r="F56" i="10"/>
  <c r="D56" i="10"/>
  <c r="AO55" i="10"/>
  <c r="AM55" i="10"/>
  <c r="AK55" i="10"/>
  <c r="AG55" i="10"/>
  <c r="V55" i="10"/>
  <c r="T55" i="10"/>
  <c r="P55" i="10"/>
  <c r="N55" i="10"/>
  <c r="F55" i="10"/>
  <c r="AO54" i="10"/>
  <c r="AK54" i="10"/>
  <c r="AG54" i="10"/>
  <c r="AE54" i="10"/>
  <c r="V54" i="10"/>
  <c r="T54" i="10"/>
  <c r="P54" i="10"/>
  <c r="N54" i="10"/>
  <c r="H54" i="10"/>
  <c r="F54" i="10"/>
  <c r="AO53" i="10"/>
  <c r="AK53" i="10"/>
  <c r="AG53" i="10"/>
  <c r="AE53" i="10"/>
  <c r="AC53" i="10"/>
  <c r="V53" i="10"/>
  <c r="T53" i="10"/>
  <c r="P53" i="10"/>
  <c r="N53" i="10"/>
  <c r="F53" i="10"/>
  <c r="AO52" i="10"/>
  <c r="AM52" i="10"/>
  <c r="AK52" i="10"/>
  <c r="AG52" i="10"/>
  <c r="AE52" i="10"/>
  <c r="AC52" i="10"/>
  <c r="V52" i="10"/>
  <c r="T52" i="10"/>
  <c r="P52" i="10"/>
  <c r="N52" i="10"/>
  <c r="F52" i="10"/>
  <c r="AM51" i="10"/>
  <c r="AK51" i="10"/>
  <c r="AG51" i="10"/>
  <c r="AE51" i="10"/>
  <c r="V51" i="10"/>
  <c r="N51" i="10"/>
  <c r="L51" i="10"/>
  <c r="H51" i="10"/>
  <c r="F51" i="10"/>
  <c r="C33" i="10"/>
  <c r="C30" i="10"/>
  <c r="BT23" i="10"/>
  <c r="AZ20" i="10"/>
  <c r="BU19" i="10" s="1"/>
  <c r="CR19" i="10"/>
  <c r="CJ19" i="10"/>
  <c r="BT22" i="10" s="1"/>
  <c r="CB19" i="10"/>
  <c r="BT21" i="10" s="1"/>
  <c r="BT19" i="10"/>
  <c r="BM19" i="10"/>
  <c r="BW20" i="10" s="1"/>
  <c r="BJ19" i="10"/>
  <c r="BT20" i="10" s="1"/>
  <c r="BB16" i="10"/>
  <c r="AZ16" i="10"/>
  <c r="AZ18" i="10" s="1"/>
  <c r="AF16" i="10"/>
  <c r="AF18" i="10" s="1"/>
  <c r="AD16" i="10"/>
  <c r="AB16" i="10"/>
  <c r="AB18" i="10" s="1"/>
  <c r="G16" i="10"/>
  <c r="G27" i="10" s="1"/>
  <c r="E16" i="10"/>
  <c r="C16" i="10"/>
  <c r="C18" i="10" s="1"/>
  <c r="BD15" i="10"/>
  <c r="BB15" i="10"/>
  <c r="BC11" i="10" s="1"/>
  <c r="AZ15" i="10"/>
  <c r="AV15" i="10"/>
  <c r="AT15" i="10"/>
  <c r="AR15" i="10"/>
  <c r="AS14" i="10" s="1"/>
  <c r="AN15" i="10"/>
  <c r="AL15" i="10"/>
  <c r="AM13" i="10" s="1"/>
  <c r="AJ15" i="10"/>
  <c r="AF15" i="10"/>
  <c r="AG10" i="10" s="1"/>
  <c r="AD15" i="10"/>
  <c r="AB15" i="10"/>
  <c r="O15" i="10"/>
  <c r="M15" i="10"/>
  <c r="N13" i="10" s="1"/>
  <c r="K15" i="10"/>
  <c r="K16" i="10" s="1"/>
  <c r="G15" i="10"/>
  <c r="E15" i="10"/>
  <c r="C15" i="10"/>
  <c r="BM14" i="10"/>
  <c r="BM16" i="10" s="1"/>
  <c r="BK14" i="10"/>
  <c r="BK16" i="10" s="1"/>
  <c r="BE14" i="10"/>
  <c r="AW14" i="10"/>
  <c r="AU14" i="10"/>
  <c r="AK14" i="10"/>
  <c r="AC14" i="10"/>
  <c r="W14" i="10"/>
  <c r="U14" i="10"/>
  <c r="S14" i="10"/>
  <c r="N14" i="10"/>
  <c r="L14" i="10"/>
  <c r="H14" i="10"/>
  <c r="F14" i="10"/>
  <c r="D14" i="10"/>
  <c r="CW13" i="10"/>
  <c r="CU13" i="10"/>
  <c r="CS13" i="10"/>
  <c r="CT7" i="10" s="1"/>
  <c r="CO13" i="10"/>
  <c r="CM13" i="10"/>
  <c r="CK13" i="10"/>
  <c r="CL12" i="10" s="1"/>
  <c r="CG13" i="10"/>
  <c r="CE13" i="10"/>
  <c r="CC13" i="10"/>
  <c r="BO13" i="10"/>
  <c r="CH4" i="10" s="1"/>
  <c r="BM13" i="10"/>
  <c r="BK13" i="10"/>
  <c r="BL11" i="10" s="1"/>
  <c r="BE13" i="10"/>
  <c r="BA13" i="10"/>
  <c r="AW13" i="10"/>
  <c r="AU13" i="10"/>
  <c r="AS13" i="10"/>
  <c r="AK13" i="10"/>
  <c r="AG13" i="10"/>
  <c r="AE13" i="10"/>
  <c r="AC13" i="10"/>
  <c r="W13" i="10"/>
  <c r="U13" i="10"/>
  <c r="S13" i="10"/>
  <c r="L13" i="10"/>
  <c r="H13" i="10"/>
  <c r="F13" i="10"/>
  <c r="D13" i="10"/>
  <c r="CX12" i="10"/>
  <c r="CV12" i="10"/>
  <c r="CT12" i="10"/>
  <c r="CN12" i="10"/>
  <c r="CF12" i="10"/>
  <c r="BP12" i="10"/>
  <c r="BN12" i="10"/>
  <c r="BL12" i="10"/>
  <c r="BE12" i="10"/>
  <c r="BC12" i="10"/>
  <c r="AW12" i="10"/>
  <c r="AU12" i="10"/>
  <c r="AS12" i="10"/>
  <c r="AK12" i="10"/>
  <c r="AC12" i="10"/>
  <c r="W12" i="10"/>
  <c r="U12" i="10"/>
  <c r="S12" i="10"/>
  <c r="N12" i="10"/>
  <c r="L12" i="10"/>
  <c r="H12" i="10"/>
  <c r="F12" i="10"/>
  <c r="D12" i="10"/>
  <c r="CX11" i="10"/>
  <c r="CV11" i="10"/>
  <c r="CT11" i="10"/>
  <c r="CN11" i="10"/>
  <c r="CH11" i="10"/>
  <c r="CF11" i="10"/>
  <c r="CD11" i="10"/>
  <c r="BN11" i="10"/>
  <c r="BE11" i="10"/>
  <c r="BA11" i="10"/>
  <c r="AW11" i="10"/>
  <c r="AU11" i="10"/>
  <c r="AK11" i="10"/>
  <c r="AG11" i="10"/>
  <c r="AE11" i="10"/>
  <c r="AC11" i="10"/>
  <c r="W11" i="10"/>
  <c r="U11" i="10"/>
  <c r="S11" i="10"/>
  <c r="N11" i="10"/>
  <c r="L11" i="10"/>
  <c r="H11" i="10"/>
  <c r="F11" i="10"/>
  <c r="D11" i="10"/>
  <c r="CV10" i="10"/>
  <c r="CT10" i="10"/>
  <c r="CN10" i="10"/>
  <c r="CF10" i="10"/>
  <c r="BN10" i="10"/>
  <c r="BL10" i="10"/>
  <c r="BE10" i="10"/>
  <c r="BC10" i="10"/>
  <c r="AW10" i="10"/>
  <c r="AU10" i="10"/>
  <c r="AK10" i="10"/>
  <c r="AC10" i="10"/>
  <c r="W10" i="10"/>
  <c r="U10" i="10"/>
  <c r="S10" i="10"/>
  <c r="N10" i="10"/>
  <c r="L10" i="10"/>
  <c r="H10" i="10"/>
  <c r="F10" i="10"/>
  <c r="D10" i="10"/>
  <c r="CV9" i="10"/>
  <c r="CN9" i="10"/>
  <c r="CH9" i="10"/>
  <c r="CF9" i="10"/>
  <c r="BN9" i="10"/>
  <c r="BL9" i="10"/>
  <c r="BE9" i="10"/>
  <c r="BC9" i="10"/>
  <c r="BA9" i="10"/>
  <c r="AW9" i="10"/>
  <c r="AU9" i="10"/>
  <c r="AK9" i="10"/>
  <c r="AG9" i="10"/>
  <c r="AE9" i="10"/>
  <c r="AC9" i="10"/>
  <c r="W9" i="10"/>
  <c r="U9" i="10"/>
  <c r="S9" i="10"/>
  <c r="P9" i="10"/>
  <c r="N9" i="10"/>
  <c r="L9" i="10"/>
  <c r="H9" i="10"/>
  <c r="F9" i="10"/>
  <c r="D9" i="10"/>
  <c r="CV8" i="10"/>
  <c r="CP8" i="10"/>
  <c r="CN8" i="10"/>
  <c r="CF8" i="10"/>
  <c r="BN8" i="10"/>
  <c r="BL8" i="10"/>
  <c r="BE8" i="10"/>
  <c r="BC8" i="10"/>
  <c r="AW8" i="10"/>
  <c r="AU8" i="10"/>
  <c r="AK8" i="10"/>
  <c r="AG8" i="10"/>
  <c r="AC8" i="10"/>
  <c r="W8" i="10"/>
  <c r="U8" i="10"/>
  <c r="S8" i="10"/>
  <c r="N8" i="10"/>
  <c r="L8" i="10"/>
  <c r="H8" i="10"/>
  <c r="F8" i="10"/>
  <c r="D8" i="10"/>
  <c r="CV7" i="10"/>
  <c r="CN7" i="10"/>
  <c r="CF7" i="10"/>
  <c r="BN7" i="10"/>
  <c r="BL7" i="10"/>
  <c r="BE7" i="10"/>
  <c r="BA7" i="10"/>
  <c r="AW7" i="10"/>
  <c r="AU7" i="10"/>
  <c r="AK7" i="10"/>
  <c r="AG7" i="10"/>
  <c r="AE7" i="10"/>
  <c r="AC7" i="10"/>
  <c r="W7" i="10"/>
  <c r="U7" i="10"/>
  <c r="S7" i="10"/>
  <c r="P7" i="10"/>
  <c r="N7" i="10"/>
  <c r="L7" i="10"/>
  <c r="H7" i="10"/>
  <c r="F7" i="10"/>
  <c r="D7" i="10"/>
  <c r="CX6" i="10"/>
  <c r="CV6" i="10"/>
  <c r="CN6" i="10"/>
  <c r="CF6" i="10"/>
  <c r="BN6" i="10"/>
  <c r="BL6" i="10"/>
  <c r="BE6" i="10"/>
  <c r="BC6" i="10"/>
  <c r="AW6" i="10"/>
  <c r="AU6" i="10"/>
  <c r="AK6" i="10"/>
  <c r="AC6" i="10"/>
  <c r="W6" i="10"/>
  <c r="U6" i="10"/>
  <c r="S6" i="10"/>
  <c r="N6" i="10"/>
  <c r="L6" i="10"/>
  <c r="H6" i="10"/>
  <c r="F6" i="10"/>
  <c r="D6" i="10"/>
  <c r="CX5" i="10"/>
  <c r="CV5" i="10"/>
  <c r="CN5" i="10"/>
  <c r="CF5" i="10"/>
  <c r="CD5" i="10"/>
  <c r="BP5" i="10"/>
  <c r="BN5" i="10"/>
  <c r="BL5" i="10"/>
  <c r="BE5" i="10"/>
  <c r="BA5" i="10"/>
  <c r="AW5" i="10"/>
  <c r="AU5" i="10"/>
  <c r="AS5" i="10"/>
  <c r="AM5" i="10"/>
  <c r="AK5" i="10"/>
  <c r="AG5" i="10"/>
  <c r="AE5" i="10"/>
  <c r="AC5" i="10"/>
  <c r="W5" i="10"/>
  <c r="U5" i="10"/>
  <c r="S5" i="10"/>
  <c r="N5" i="10"/>
  <c r="L5" i="10"/>
  <c r="H5" i="10"/>
  <c r="F5" i="10"/>
  <c r="D5" i="10"/>
  <c r="CX4" i="10"/>
  <c r="CV4" i="10"/>
  <c r="CT4" i="10"/>
  <c r="CN4" i="10"/>
  <c r="CF4" i="10"/>
  <c r="CD4" i="10"/>
  <c r="BN4" i="10"/>
  <c r="BL4" i="10"/>
  <c r="BE4" i="10"/>
  <c r="BA4" i="10"/>
  <c r="AW4" i="10"/>
  <c r="AU4" i="10"/>
  <c r="AK4" i="10"/>
  <c r="AE4" i="10"/>
  <c r="AC4" i="10"/>
  <c r="W4" i="10"/>
  <c r="U4" i="10"/>
  <c r="S4" i="10"/>
  <c r="P4" i="10"/>
  <c r="N4" i="10"/>
  <c r="L4" i="10"/>
  <c r="H4" i="10"/>
  <c r="F4" i="10"/>
  <c r="D4" i="10"/>
  <c r="CO14" i="10" l="1"/>
  <c r="CO19" i="10" s="1"/>
  <c r="BY22" i="10" s="1"/>
  <c r="BY60" i="10" s="1"/>
  <c r="CL8" i="10"/>
  <c r="CL9" i="10"/>
  <c r="CL4" i="10"/>
  <c r="CL6" i="10"/>
  <c r="CL7" i="10"/>
  <c r="CL5" i="10"/>
  <c r="CL10" i="10"/>
  <c r="CL11" i="10"/>
  <c r="CT8" i="10"/>
  <c r="CT6" i="10"/>
  <c r="CT5" i="10"/>
  <c r="CT9" i="10"/>
  <c r="CS14" i="10"/>
  <c r="CS16" i="10" s="1"/>
  <c r="DE19" i="10"/>
  <c r="BY24" i="10" s="1"/>
  <c r="BY62" i="10" s="1"/>
  <c r="DA16" i="10"/>
  <c r="DE16" i="10"/>
  <c r="S15" i="10"/>
  <c r="T4" i="10" s="1"/>
  <c r="W15" i="10"/>
  <c r="X10" i="10" s="1"/>
  <c r="CK14" i="10"/>
  <c r="CM14" i="10"/>
  <c r="CM16" i="10" s="1"/>
  <c r="T9" i="10"/>
  <c r="T13" i="10"/>
  <c r="T14" i="10"/>
  <c r="K18" i="10"/>
  <c r="C28" i="10"/>
  <c r="X67" i="10"/>
  <c r="X53" i="10"/>
  <c r="W86" i="10"/>
  <c r="X83" i="10"/>
  <c r="X75" i="10"/>
  <c r="X59" i="10"/>
  <c r="X52" i="10"/>
  <c r="S86" i="10"/>
  <c r="X80" i="10"/>
  <c r="X72" i="10"/>
  <c r="X68" i="10"/>
  <c r="X79" i="10"/>
  <c r="X71" i="10"/>
  <c r="X69" i="10"/>
  <c r="X54" i="10"/>
  <c r="X84" i="10"/>
  <c r="X76" i="10"/>
  <c r="X66" i="10"/>
  <c r="X57" i="10"/>
  <c r="X81" i="10"/>
  <c r="X73" i="10"/>
  <c r="X51" i="10"/>
  <c r="X78" i="10"/>
  <c r="X55" i="10"/>
  <c r="AO13" i="10"/>
  <c r="AO11" i="10"/>
  <c r="AO9" i="10"/>
  <c r="AO7" i="10"/>
  <c r="AO5" i="10"/>
  <c r="AO10" i="10"/>
  <c r="AO8" i="10"/>
  <c r="AO4" i="10"/>
  <c r="AN16" i="10"/>
  <c r="AM6" i="10"/>
  <c r="BP6" i="10"/>
  <c r="T10" i="10"/>
  <c r="T12" i="10"/>
  <c r="AO14" i="10"/>
  <c r="CU14" i="10"/>
  <c r="E30" i="10"/>
  <c r="AD18" i="10"/>
  <c r="X56" i="10"/>
  <c r="AO6" i="10"/>
  <c r="C27" i="10"/>
  <c r="G34" i="10"/>
  <c r="O88" i="10"/>
  <c r="AM7" i="10"/>
  <c r="E37" i="10"/>
  <c r="AL88" i="10"/>
  <c r="U15" i="10"/>
  <c r="V13" i="10" s="1"/>
  <c r="CH12" i="10"/>
  <c r="CH10" i="10"/>
  <c r="CH8" i="10"/>
  <c r="CH6" i="10"/>
  <c r="CP10" i="10"/>
  <c r="CP9" i="10"/>
  <c r="BP7" i="10"/>
  <c r="BP11" i="10"/>
  <c r="CP6" i="10"/>
  <c r="CP5" i="10"/>
  <c r="BP4" i="10"/>
  <c r="CX10" i="10"/>
  <c r="BP8" i="10"/>
  <c r="CX7" i="10"/>
  <c r="BP10" i="10"/>
  <c r="CX9" i="10"/>
  <c r="CH7" i="10"/>
  <c r="CX8" i="10"/>
  <c r="CP12" i="10"/>
  <c r="CP11" i="10"/>
  <c r="BP9" i="10"/>
  <c r="CP4" i="10"/>
  <c r="X77" i="10"/>
  <c r="CC14" i="10"/>
  <c r="CD6" i="10"/>
  <c r="CD10" i="10"/>
  <c r="CD9" i="10"/>
  <c r="CE14" i="10"/>
  <c r="CD7" i="10"/>
  <c r="CD8" i="10"/>
  <c r="CW14" i="10"/>
  <c r="BB18" i="10"/>
  <c r="BB20" i="10"/>
  <c r="BW19" i="10" s="1"/>
  <c r="BK19" i="10"/>
  <c r="BU20" i="10" s="1"/>
  <c r="X60" i="10"/>
  <c r="X82" i="10"/>
  <c r="M88" i="10"/>
  <c r="E34" i="10"/>
  <c r="AL16" i="10"/>
  <c r="AM8" i="10"/>
  <c r="AM12" i="10"/>
  <c r="AM11" i="10"/>
  <c r="AM9" i="10"/>
  <c r="AM10" i="10"/>
  <c r="AM4" i="10"/>
  <c r="E27" i="10"/>
  <c r="E18" i="10"/>
  <c r="AO12" i="10"/>
  <c r="BO14" i="10"/>
  <c r="P14" i="10"/>
  <c r="P12" i="10"/>
  <c r="P10" i="10"/>
  <c r="P8" i="10"/>
  <c r="P6" i="10"/>
  <c r="P13" i="10"/>
  <c r="O16" i="10"/>
  <c r="P11" i="10"/>
  <c r="P5" i="10"/>
  <c r="AN88" i="10"/>
  <c r="G37" i="10"/>
  <c r="CH5" i="10"/>
  <c r="CP7" i="10"/>
  <c r="CD12" i="10"/>
  <c r="AM14" i="10"/>
  <c r="X74" i="10"/>
  <c r="L53" i="10"/>
  <c r="D59" i="10"/>
  <c r="L60" i="10"/>
  <c r="G69" i="10"/>
  <c r="H55" i="10"/>
  <c r="L77" i="10"/>
  <c r="AC83" i="10"/>
  <c r="BC5" i="10"/>
  <c r="AS8" i="10"/>
  <c r="AS9" i="10"/>
  <c r="AG12" i="10"/>
  <c r="BC13" i="10"/>
  <c r="AE14" i="10"/>
  <c r="AE12" i="10"/>
  <c r="AE10" i="10"/>
  <c r="AE8" i="10"/>
  <c r="AE6" i="10"/>
  <c r="BA14" i="10"/>
  <c r="BA12" i="10"/>
  <c r="BA10" i="10"/>
  <c r="BA8" i="10"/>
  <c r="BA6" i="10"/>
  <c r="AR16" i="10"/>
  <c r="H52" i="10"/>
  <c r="AM53" i="10"/>
  <c r="D55" i="10"/>
  <c r="AC55" i="10"/>
  <c r="AM56" i="10"/>
  <c r="AM60" i="10"/>
  <c r="L68" i="10"/>
  <c r="L70" i="10"/>
  <c r="P74" i="10"/>
  <c r="AC78" i="10"/>
  <c r="AO79" i="10"/>
  <c r="P82" i="10"/>
  <c r="AB86" i="10"/>
  <c r="BC14" i="10"/>
  <c r="AT16" i="10"/>
  <c r="D51" i="10"/>
  <c r="AC51" i="10"/>
  <c r="L52" i="10"/>
  <c r="H59" i="10"/>
  <c r="D66" i="10"/>
  <c r="H67" i="10"/>
  <c r="AC73" i="10"/>
  <c r="L75" i="10"/>
  <c r="AC81" i="10"/>
  <c r="L83" i="10"/>
  <c r="AD86" i="10"/>
  <c r="CG14" i="10"/>
  <c r="AS4" i="10"/>
  <c r="AG6" i="10"/>
  <c r="BC7" i="10"/>
  <c r="AS10" i="10"/>
  <c r="AS11" i="10"/>
  <c r="AG14" i="10"/>
  <c r="M16" i="10"/>
  <c r="AJ16" i="10"/>
  <c r="BD16" i="10"/>
  <c r="AV16" i="10"/>
  <c r="G18" i="10"/>
  <c r="D54" i="10"/>
  <c r="L55" i="10"/>
  <c r="AC57" i="10"/>
  <c r="L59" i="10"/>
  <c r="AC66" i="10"/>
  <c r="L67" i="10"/>
  <c r="P68" i="10"/>
  <c r="P70" i="10"/>
  <c r="P72" i="10"/>
  <c r="AC76" i="10"/>
  <c r="P80" i="10"/>
  <c r="T70" i="10"/>
  <c r="T60" i="10"/>
  <c r="T51" i="10"/>
  <c r="AO70" i="10"/>
  <c r="AO60" i="10"/>
  <c r="AO51" i="10"/>
  <c r="AJ86" i="10"/>
  <c r="L54" i="10"/>
  <c r="L57" i="10"/>
  <c r="D67" i="10"/>
  <c r="D53" i="10"/>
  <c r="L69" i="10"/>
  <c r="L71" i="10"/>
  <c r="AC68" i="10"/>
  <c r="AC54" i="10"/>
  <c r="AG4" i="10"/>
  <c r="BC4" i="10"/>
  <c r="AS6" i="10"/>
  <c r="AS7" i="10"/>
  <c r="G30" i="10"/>
  <c r="P51" i="10"/>
  <c r="D52" i="10"/>
  <c r="H53" i="10"/>
  <c r="AM54" i="10"/>
  <c r="P57" i="10"/>
  <c r="H60" i="10"/>
  <c r="P66" i="10"/>
  <c r="AM66" i="10"/>
  <c r="AM69" i="10"/>
  <c r="AC72" i="10"/>
  <c r="T73" i="10"/>
  <c r="AO73" i="10"/>
  <c r="P76" i="10"/>
  <c r="AO76" i="10"/>
  <c r="AC80" i="10"/>
  <c r="T81" i="10"/>
  <c r="AO81" i="10"/>
  <c r="P84" i="10"/>
  <c r="AO84" i="10"/>
  <c r="AE69" i="10"/>
  <c r="AE55" i="10"/>
  <c r="U86" i="10"/>
  <c r="K86" i="10"/>
  <c r="L84" i="10"/>
  <c r="L82" i="10"/>
  <c r="L80" i="10"/>
  <c r="L78" i="10"/>
  <c r="L76" i="10"/>
  <c r="L74" i="10"/>
  <c r="L72" i="10"/>
  <c r="L56" i="10"/>
  <c r="AF86" i="10"/>
  <c r="AG84" i="10"/>
  <c r="AG82" i="10"/>
  <c r="AG80" i="10"/>
  <c r="AG78" i="10"/>
  <c r="AG76" i="10"/>
  <c r="AG74" i="10"/>
  <c r="AG72" i="10"/>
  <c r="AG56" i="10"/>
  <c r="BY23" i="9"/>
  <c r="BW23" i="9"/>
  <c r="BU23" i="9"/>
  <c r="BT23" i="9"/>
  <c r="CU14" i="9"/>
  <c r="CW14" i="9"/>
  <c r="CS14" i="9"/>
  <c r="CR19" i="9"/>
  <c r="CW13" i="9"/>
  <c r="CU13" i="9"/>
  <c r="CS13" i="9"/>
  <c r="CT10" i="9" s="1"/>
  <c r="CX12" i="9"/>
  <c r="CV12" i="9"/>
  <c r="CX11" i="9"/>
  <c r="CV11" i="9"/>
  <c r="CX10" i="9"/>
  <c r="CV10" i="9"/>
  <c r="CX9" i="9"/>
  <c r="CV9" i="9"/>
  <c r="CX8" i="9"/>
  <c r="CV8" i="9"/>
  <c r="CX7" i="9"/>
  <c r="CV7" i="9"/>
  <c r="CX6" i="9"/>
  <c r="CV6" i="9"/>
  <c r="CX5" i="9"/>
  <c r="CV5" i="9"/>
  <c r="CT5" i="9"/>
  <c r="CX4" i="9"/>
  <c r="CV4" i="9"/>
  <c r="CO16" i="10" l="1"/>
  <c r="CM19" i="10"/>
  <c r="BW22" i="10" s="1"/>
  <c r="BW60" i="10" s="1"/>
  <c r="CS19" i="10"/>
  <c r="BU23" i="10" s="1"/>
  <c r="BU61" i="10" s="1"/>
  <c r="X11" i="10"/>
  <c r="DA19" i="10"/>
  <c r="BU24" i="10" s="1"/>
  <c r="BU62" i="10" s="1"/>
  <c r="DC19" i="10"/>
  <c r="BW24" i="10" s="1"/>
  <c r="BW62" i="10" s="1"/>
  <c r="DC16" i="10"/>
  <c r="X5" i="10"/>
  <c r="T7" i="10"/>
  <c r="X12" i="10"/>
  <c r="T11" i="10"/>
  <c r="T6" i="10"/>
  <c r="X6" i="10"/>
  <c r="T8" i="10"/>
  <c r="T5" i="10"/>
  <c r="X9" i="10"/>
  <c r="X7" i="10"/>
  <c r="X4" i="10"/>
  <c r="X14" i="10"/>
  <c r="V11" i="10"/>
  <c r="X8" i="10"/>
  <c r="V6" i="10"/>
  <c r="V7" i="10"/>
  <c r="X13" i="10"/>
  <c r="V10" i="10"/>
  <c r="S16" i="10"/>
  <c r="S18" i="10" s="1"/>
  <c r="V9" i="10"/>
  <c r="V14" i="10"/>
  <c r="V8" i="10"/>
  <c r="CK19" i="10"/>
  <c r="BU22" i="10" s="1"/>
  <c r="BU60" i="10" s="1"/>
  <c r="CK16" i="10"/>
  <c r="CG16" i="10"/>
  <c r="CG19" i="10"/>
  <c r="BY21" i="10" s="1"/>
  <c r="BY59" i="10" s="1"/>
  <c r="G28" i="10"/>
  <c r="O18" i="10"/>
  <c r="E36" i="10"/>
  <c r="AD88" i="10"/>
  <c r="G36" i="10"/>
  <c r="AF88" i="10"/>
  <c r="AT18" i="10"/>
  <c r="E32" i="10"/>
  <c r="K88" i="10"/>
  <c r="C34" i="10"/>
  <c r="AV18" i="10"/>
  <c r="G32" i="10"/>
  <c r="CE16" i="10"/>
  <c r="CE19" i="10"/>
  <c r="BW21" i="10" s="1"/>
  <c r="BW59" i="10" s="1"/>
  <c r="U88" i="10"/>
  <c r="E35" i="10"/>
  <c r="BD20" i="10"/>
  <c r="BY19" i="10" s="1"/>
  <c r="BD18" i="10"/>
  <c r="AB88" i="10"/>
  <c r="C36" i="10"/>
  <c r="CU16" i="10"/>
  <c r="CU19" i="10"/>
  <c r="BW23" i="10" s="1"/>
  <c r="BW61" i="10" s="1"/>
  <c r="G31" i="10"/>
  <c r="AN18" i="10"/>
  <c r="AJ18" i="10"/>
  <c r="C31" i="10"/>
  <c r="G33" i="10"/>
  <c r="G71" i="10"/>
  <c r="BO19" i="10"/>
  <c r="BY20" i="10" s="1"/>
  <c r="BO16" i="10"/>
  <c r="C35" i="10"/>
  <c r="S88" i="10"/>
  <c r="E28" i="10"/>
  <c r="M18" i="10"/>
  <c r="E31" i="10"/>
  <c r="AL18" i="10"/>
  <c r="CC19" i="10"/>
  <c r="BU21" i="10" s="1"/>
  <c r="BU59" i="10" s="1"/>
  <c r="CC16" i="10"/>
  <c r="AJ88" i="10"/>
  <c r="C37" i="10"/>
  <c r="CW16" i="10"/>
  <c r="CW19" i="10"/>
  <c r="BY23" i="10" s="1"/>
  <c r="BY61" i="10" s="1"/>
  <c r="C32" i="10"/>
  <c r="AR18" i="10"/>
  <c r="V4" i="10"/>
  <c r="U16" i="10"/>
  <c r="V12" i="10"/>
  <c r="W16" i="10"/>
  <c r="V5" i="10"/>
  <c r="W88" i="10"/>
  <c r="G35" i="10"/>
  <c r="CT8" i="9"/>
  <c r="CU19" i="9"/>
  <c r="CT11" i="9"/>
  <c r="CT6" i="9"/>
  <c r="CS19" i="9"/>
  <c r="CT9" i="9"/>
  <c r="CT4" i="9"/>
  <c r="CT12" i="9"/>
  <c r="CT7" i="9"/>
  <c r="CU16" i="9"/>
  <c r="CW16" i="9"/>
  <c r="CW19" i="9"/>
  <c r="BT22" i="9"/>
  <c r="CJ19" i="9"/>
  <c r="CO13" i="9"/>
  <c r="CM13" i="9"/>
  <c r="CK13" i="9"/>
  <c r="CL11" i="9" s="1"/>
  <c r="CP12" i="9"/>
  <c r="CN12" i="9"/>
  <c r="CP11" i="9"/>
  <c r="CN11" i="9"/>
  <c r="CP10" i="9"/>
  <c r="CN10" i="9"/>
  <c r="CP9" i="9"/>
  <c r="CN9" i="9"/>
  <c r="CP8" i="9"/>
  <c r="CN8" i="9"/>
  <c r="CP7" i="9"/>
  <c r="CN7" i="9"/>
  <c r="CP6" i="9"/>
  <c r="CN6" i="9"/>
  <c r="CP5" i="9"/>
  <c r="CN5" i="9"/>
  <c r="CP4" i="9"/>
  <c r="CN4" i="9"/>
  <c r="C29" i="10" l="1"/>
  <c r="W18" i="10"/>
  <c r="G29" i="10"/>
  <c r="E29" i="10"/>
  <c r="U18" i="10"/>
  <c r="CS16" i="9"/>
  <c r="CO14" i="9"/>
  <c r="CO19" i="9" s="1"/>
  <c r="BY22" i="9" s="1"/>
  <c r="CM14" i="9"/>
  <c r="CM19" i="9" s="1"/>
  <c r="BW22" i="9" s="1"/>
  <c r="CK14" i="9"/>
  <c r="CL5" i="9"/>
  <c r="CL7" i="9"/>
  <c r="CL8" i="9"/>
  <c r="CL6" i="9"/>
  <c r="CL9" i="9"/>
  <c r="CL4" i="9"/>
  <c r="CL12" i="9"/>
  <c r="CL10" i="9"/>
  <c r="BT21" i="9"/>
  <c r="CO16" i="9" l="1"/>
  <c r="CM16" i="9"/>
  <c r="CK19" i="9"/>
  <c r="BU22" i="9" s="1"/>
  <c r="CK16" i="9"/>
  <c r="CB19" i="9"/>
  <c r="CG13" i="9"/>
  <c r="CE13" i="9"/>
  <c r="CC13" i="9"/>
  <c r="CD12" i="9" s="1"/>
  <c r="CH12" i="9"/>
  <c r="CF12" i="9"/>
  <c r="CH11" i="9"/>
  <c r="CF11" i="9"/>
  <c r="CH10" i="9"/>
  <c r="CF10" i="9"/>
  <c r="CH9" i="9"/>
  <c r="CF9" i="9"/>
  <c r="CH8" i="9"/>
  <c r="CF8" i="9"/>
  <c r="CH7" i="9"/>
  <c r="CF7" i="9"/>
  <c r="CH6" i="9"/>
  <c r="CF6" i="9"/>
  <c r="CH5" i="9"/>
  <c r="CF5" i="9"/>
  <c r="CH4" i="9"/>
  <c r="CF4" i="9"/>
  <c r="CD10" i="9" l="1"/>
  <c r="CD5" i="9"/>
  <c r="CE14" i="9"/>
  <c r="CE19" i="9" s="1"/>
  <c r="BW21" i="9" s="1"/>
  <c r="CG14" i="9"/>
  <c r="CG19" i="9" s="1"/>
  <c r="BY21" i="9" s="1"/>
  <c r="CD7" i="9"/>
  <c r="CC14" i="9"/>
  <c r="CD8" i="9"/>
  <c r="CD11" i="9"/>
  <c r="CD6" i="9"/>
  <c r="CD9" i="9"/>
  <c r="CD4" i="9"/>
  <c r="BT20" i="9"/>
  <c r="BY19" i="9"/>
  <c r="BW19" i="9"/>
  <c r="BU19" i="9"/>
  <c r="BT19" i="9"/>
  <c r="CG16" i="9" l="1"/>
  <c r="CE16" i="9"/>
  <c r="CC19" i="9"/>
  <c r="BU21" i="9" s="1"/>
  <c r="CC16" i="9"/>
  <c r="BD20" i="9"/>
  <c r="BB20" i="9"/>
  <c r="AZ20" i="9"/>
  <c r="BJ19" i="9" l="1"/>
  <c r="BO13" i="9"/>
  <c r="BM13" i="9"/>
  <c r="BN7" i="9" s="1"/>
  <c r="BK13" i="9"/>
  <c r="BL10" i="9" s="1"/>
  <c r="BN9" i="9" l="1"/>
  <c r="BO14" i="9"/>
  <c r="BO19" i="9" s="1"/>
  <c r="BY20" i="9" s="1"/>
  <c r="BN8" i="9"/>
  <c r="BN4" i="9"/>
  <c r="BN12" i="9"/>
  <c r="BN5" i="9"/>
  <c r="BN6" i="9"/>
  <c r="BN11" i="9"/>
  <c r="BN10" i="9"/>
  <c r="BP10" i="9"/>
  <c r="BP11" i="9"/>
  <c r="BP8" i="9"/>
  <c r="BP7" i="9"/>
  <c r="BP4" i="9"/>
  <c r="BP12" i="9"/>
  <c r="BP5" i="9"/>
  <c r="BP6" i="9"/>
  <c r="BP9" i="9"/>
  <c r="BK14" i="9"/>
  <c r="BK19" i="9" s="1"/>
  <c r="BU20" i="9" s="1"/>
  <c r="BM14" i="9"/>
  <c r="BM19" i="9" s="1"/>
  <c r="BW20" i="9" s="1"/>
  <c r="BL7" i="9"/>
  <c r="BL6" i="9"/>
  <c r="BL8" i="9"/>
  <c r="BL9" i="9"/>
  <c r="BL12" i="9"/>
  <c r="BL5" i="9"/>
  <c r="BL11" i="9"/>
  <c r="BL4" i="9"/>
  <c r="AN76" i="9"/>
  <c r="AO74" i="9" s="1"/>
  <c r="AL76" i="9"/>
  <c r="AM68" i="9" s="1"/>
  <c r="AJ76" i="9"/>
  <c r="AK74" i="9" s="1"/>
  <c r="AF76" i="9"/>
  <c r="AG57" i="9" s="1"/>
  <c r="AD76" i="9"/>
  <c r="AE67" i="9" s="1"/>
  <c r="AB76" i="9"/>
  <c r="AC75" i="9" s="1"/>
  <c r="W76" i="9"/>
  <c r="X60" i="9" s="1"/>
  <c r="U76" i="9"/>
  <c r="V72" i="9" s="1"/>
  <c r="S76" i="9"/>
  <c r="T74" i="9" s="1"/>
  <c r="O76" i="9"/>
  <c r="P70" i="9" s="1"/>
  <c r="M76" i="9"/>
  <c r="N74" i="9" s="1"/>
  <c r="K76" i="9"/>
  <c r="L73" i="9" s="1"/>
  <c r="AG75" i="9"/>
  <c r="AC74" i="9"/>
  <c r="AG73" i="9"/>
  <c r="AC73" i="9"/>
  <c r="L72" i="9"/>
  <c r="AC69" i="9"/>
  <c r="X69" i="9"/>
  <c r="L69" i="9"/>
  <c r="AC65" i="9"/>
  <c r="AC64" i="9"/>
  <c r="X64" i="9"/>
  <c r="AG62" i="9"/>
  <c r="G59" i="9"/>
  <c r="H54" i="9" s="1"/>
  <c r="E59" i="9"/>
  <c r="F53" i="9" s="1"/>
  <c r="C59" i="9"/>
  <c r="D51" i="9" s="1"/>
  <c r="AC56" i="9"/>
  <c r="L55" i="9"/>
  <c r="AG54" i="9"/>
  <c r="AC51" i="9"/>
  <c r="AG50" i="9"/>
  <c r="AC50" i="9"/>
  <c r="AK49" i="9"/>
  <c r="BD15" i="9"/>
  <c r="BE4" i="9" s="1"/>
  <c r="BB15" i="9"/>
  <c r="AZ15" i="9"/>
  <c r="BA13" i="9" s="1"/>
  <c r="AV15" i="9"/>
  <c r="AT15" i="9"/>
  <c r="AU7" i="9" s="1"/>
  <c r="AR15" i="9"/>
  <c r="AN15" i="9"/>
  <c r="AO10" i="9" s="1"/>
  <c r="AL15" i="9"/>
  <c r="AJ15" i="9"/>
  <c r="AK9" i="9" s="1"/>
  <c r="AF15" i="9"/>
  <c r="AD15" i="9"/>
  <c r="AE9" i="9" s="1"/>
  <c r="AB15" i="9"/>
  <c r="O15" i="9"/>
  <c r="P6" i="9" s="1"/>
  <c r="M15" i="9"/>
  <c r="N11" i="9" s="1"/>
  <c r="K15" i="9"/>
  <c r="L11" i="9" s="1"/>
  <c r="G15" i="9"/>
  <c r="H4" i="9" s="1"/>
  <c r="E15" i="9"/>
  <c r="F8" i="9" s="1"/>
  <c r="C15" i="9"/>
  <c r="D13" i="9" s="1"/>
  <c r="W14" i="9"/>
  <c r="U14" i="9"/>
  <c r="S14" i="9"/>
  <c r="W13" i="9"/>
  <c r="U13" i="9"/>
  <c r="S13" i="9"/>
  <c r="AU12" i="9"/>
  <c r="W12" i="9"/>
  <c r="U12" i="9"/>
  <c r="S12" i="9"/>
  <c r="AE11" i="9"/>
  <c r="W11" i="9"/>
  <c r="U11" i="9"/>
  <c r="S11" i="9"/>
  <c r="W10" i="9"/>
  <c r="U10" i="9"/>
  <c r="S10" i="9"/>
  <c r="BA9" i="9"/>
  <c r="W9" i="9"/>
  <c r="U9" i="9"/>
  <c r="S9" i="9"/>
  <c r="AO8" i="9"/>
  <c r="AK8" i="9"/>
  <c r="W8" i="9"/>
  <c r="U8" i="9"/>
  <c r="S8" i="9"/>
  <c r="W7" i="9"/>
  <c r="U7" i="9"/>
  <c r="S7" i="9"/>
  <c r="W6" i="9"/>
  <c r="U6" i="9"/>
  <c r="S6" i="9"/>
  <c r="BA5" i="9"/>
  <c r="W5" i="9"/>
  <c r="U5" i="9"/>
  <c r="S5" i="9"/>
  <c r="W4" i="9"/>
  <c r="U4" i="9"/>
  <c r="S4" i="9"/>
  <c r="BA11" i="9" l="1"/>
  <c r="AC60" i="9"/>
  <c r="AC57" i="9"/>
  <c r="AC67" i="9"/>
  <c r="AU4" i="9"/>
  <c r="P10" i="9"/>
  <c r="X74" i="9"/>
  <c r="V57" i="9"/>
  <c r="AC59" i="9"/>
  <c r="AC66" i="9"/>
  <c r="X70" i="9"/>
  <c r="X57" i="9"/>
  <c r="X67" i="9"/>
  <c r="AC71" i="9"/>
  <c r="AK13" i="9"/>
  <c r="V48" i="9"/>
  <c r="AE5" i="9"/>
  <c r="AU13" i="9"/>
  <c r="AC48" i="9"/>
  <c r="AC53" i="9"/>
  <c r="AG58" i="9"/>
  <c r="X63" i="9"/>
  <c r="X72" i="9"/>
  <c r="AU11" i="9"/>
  <c r="X51" i="9"/>
  <c r="X59" i="9"/>
  <c r="AE13" i="9"/>
  <c r="V53" i="9"/>
  <c r="AU8" i="9"/>
  <c r="X53" i="9"/>
  <c r="AU5" i="9"/>
  <c r="BE7" i="9"/>
  <c r="AK12" i="9"/>
  <c r="AC54" i="9"/>
  <c r="AC63" i="9"/>
  <c r="AG67" i="9"/>
  <c r="AC72" i="9"/>
  <c r="AK4" i="9"/>
  <c r="D7" i="9"/>
  <c r="D8" i="9"/>
  <c r="N51" i="9"/>
  <c r="V70" i="9"/>
  <c r="AO4" i="9"/>
  <c r="AK5" i="9"/>
  <c r="F7" i="9"/>
  <c r="H8" i="9"/>
  <c r="D11" i="9"/>
  <c r="T49" i="9"/>
  <c r="H7" i="9"/>
  <c r="F11" i="9"/>
  <c r="F12" i="9"/>
  <c r="V49" i="9"/>
  <c r="AK57" i="9"/>
  <c r="T66" i="9"/>
  <c r="V68" i="9"/>
  <c r="N4" i="9"/>
  <c r="L7" i="9"/>
  <c r="AU9" i="9"/>
  <c r="H11" i="9"/>
  <c r="AK14" i="9"/>
  <c r="X49" i="9"/>
  <c r="V52" i="9"/>
  <c r="X55" i="9"/>
  <c r="AC58" i="9"/>
  <c r="AC61" i="9"/>
  <c r="V66" i="9"/>
  <c r="X68" i="9"/>
  <c r="AB77" i="9"/>
  <c r="P4" i="9"/>
  <c r="D5" i="9"/>
  <c r="H6" i="9"/>
  <c r="AO14" i="9"/>
  <c r="AC49" i="9"/>
  <c r="AC52" i="9"/>
  <c r="AC55" i="9"/>
  <c r="X66" i="9"/>
  <c r="AC68" i="9"/>
  <c r="N72" i="9"/>
  <c r="BE12" i="9"/>
  <c r="N57" i="9"/>
  <c r="AK6" i="9"/>
  <c r="N8" i="9"/>
  <c r="BE8" i="9"/>
  <c r="AK10" i="9"/>
  <c r="H12" i="9"/>
  <c r="F13" i="9"/>
  <c r="AG49" i="9"/>
  <c r="AG55" i="9"/>
  <c r="AG61" i="9"/>
  <c r="F5" i="9"/>
  <c r="AU6" i="9"/>
  <c r="P8" i="9"/>
  <c r="F9" i="9"/>
  <c r="BE9" i="9"/>
  <c r="AU10" i="9"/>
  <c r="H13" i="9"/>
  <c r="AU14" i="9"/>
  <c r="AT16" i="9"/>
  <c r="AT18" i="9" s="1"/>
  <c r="AG48" i="9"/>
  <c r="L54" i="9"/>
  <c r="L56" i="9"/>
  <c r="F58" i="9"/>
  <c r="P62" i="9"/>
  <c r="AO64" i="9"/>
  <c r="L67" i="9"/>
  <c r="AE70" i="9"/>
  <c r="AG72" i="9"/>
  <c r="AM74" i="9"/>
  <c r="H5" i="9"/>
  <c r="BE5" i="9"/>
  <c r="BE6" i="9"/>
  <c r="AK7" i="9"/>
  <c r="H9" i="9"/>
  <c r="H10" i="9"/>
  <c r="BE10" i="9"/>
  <c r="N13" i="9"/>
  <c r="BE13" i="9"/>
  <c r="BE14" i="9"/>
  <c r="BM16" i="9"/>
  <c r="L49" i="9"/>
  <c r="AO49" i="9"/>
  <c r="AK51" i="9"/>
  <c r="V54" i="9"/>
  <c r="L58" i="9"/>
  <c r="AG59" i="9"/>
  <c r="V62" i="9"/>
  <c r="L65" i="9"/>
  <c r="AK68" i="9"/>
  <c r="AG70" i="9"/>
  <c r="AK72" i="9"/>
  <c r="L75" i="9"/>
  <c r="F6" i="9"/>
  <c r="N10" i="9"/>
  <c r="AK11" i="9"/>
  <c r="H14" i="9"/>
  <c r="C16" i="9"/>
  <c r="C18" i="9" s="1"/>
  <c r="N49" i="9"/>
  <c r="L50" i="9"/>
  <c r="L52" i="9"/>
  <c r="AG56" i="9"/>
  <c r="V60" i="9"/>
  <c r="X62" i="9"/>
  <c r="X65" i="9"/>
  <c r="AO68" i="9"/>
  <c r="X71" i="9"/>
  <c r="X73" i="9"/>
  <c r="X75" i="9"/>
  <c r="G16" i="9"/>
  <c r="G18" i="9" s="1"/>
  <c r="AM60" i="9"/>
  <c r="P11" i="9"/>
  <c r="BE11" i="9"/>
  <c r="L48" i="9"/>
  <c r="L61" i="9"/>
  <c r="T68" i="9"/>
  <c r="L74" i="9"/>
  <c r="F48" i="9"/>
  <c r="P51" i="9"/>
  <c r="AM51" i="9"/>
  <c r="AM52" i="9"/>
  <c r="F54" i="9"/>
  <c r="P64" i="9"/>
  <c r="BO16" i="9"/>
  <c r="AE8" i="9"/>
  <c r="AO9" i="9"/>
  <c r="BA10" i="9"/>
  <c r="N14" i="9"/>
  <c r="AD16" i="9"/>
  <c r="AD18" i="9" s="1"/>
  <c r="T51" i="9"/>
  <c r="AO51" i="9"/>
  <c r="H53" i="9"/>
  <c r="P55" i="9"/>
  <c r="P56" i="9"/>
  <c r="P57" i="9"/>
  <c r="AM57" i="9"/>
  <c r="AM58" i="9"/>
  <c r="AM61" i="9"/>
  <c r="AM62" i="9"/>
  <c r="T64" i="9"/>
  <c r="AE71" i="9"/>
  <c r="AE74" i="9"/>
  <c r="S15" i="9"/>
  <c r="T12" i="9" s="1"/>
  <c r="BA4" i="9"/>
  <c r="D6" i="9"/>
  <c r="AE6" i="9"/>
  <c r="AE7" i="9"/>
  <c r="N9" i="9"/>
  <c r="D12" i="9"/>
  <c r="AE12" i="9"/>
  <c r="AO13" i="9"/>
  <c r="P14" i="9"/>
  <c r="BA14" i="9"/>
  <c r="U15" i="9"/>
  <c r="V5" i="9" s="1"/>
  <c r="AN16" i="9"/>
  <c r="AN18" i="9" s="1"/>
  <c r="P48" i="9"/>
  <c r="P49" i="9"/>
  <c r="AM49" i="9"/>
  <c r="AM50" i="9"/>
  <c r="V51" i="9"/>
  <c r="F52" i="9"/>
  <c r="L53" i="9"/>
  <c r="P54" i="9"/>
  <c r="V56" i="9"/>
  <c r="T57" i="9"/>
  <c r="AO57" i="9"/>
  <c r="AE59" i="9"/>
  <c r="AG60" i="9"/>
  <c r="L62" i="9"/>
  <c r="L63" i="9"/>
  <c r="V64" i="9"/>
  <c r="AC70" i="9"/>
  <c r="AG71" i="9"/>
  <c r="AE72" i="9"/>
  <c r="AE73" i="9"/>
  <c r="AG74" i="9"/>
  <c r="N7" i="9"/>
  <c r="AO12" i="9"/>
  <c r="AZ16" i="9"/>
  <c r="AZ18" i="9" s="1"/>
  <c r="F51" i="9"/>
  <c r="P52" i="9"/>
  <c r="AE69" i="9"/>
  <c r="BK16" i="9"/>
  <c r="D4" i="9"/>
  <c r="N6" i="9"/>
  <c r="P7" i="9"/>
  <c r="N12" i="9"/>
  <c r="E16" i="9"/>
  <c r="H51" i="9"/>
  <c r="AM56" i="9"/>
  <c r="P58" i="9"/>
  <c r="L59" i="9"/>
  <c r="AO59" i="9"/>
  <c r="P61" i="9"/>
  <c r="AE63" i="9"/>
  <c r="AE64" i="9"/>
  <c r="AG65" i="9"/>
  <c r="AG66" i="9"/>
  <c r="L68" i="9"/>
  <c r="AG69" i="9"/>
  <c r="AM70" i="9"/>
  <c r="P72" i="9"/>
  <c r="AM72" i="9"/>
  <c r="P74" i="9"/>
  <c r="AD77" i="9"/>
  <c r="F4" i="9"/>
  <c r="AE4" i="9"/>
  <c r="AO5" i="9"/>
  <c r="BA6" i="9"/>
  <c r="BA7" i="9"/>
  <c r="F10" i="9"/>
  <c r="AO11" i="9"/>
  <c r="BA12" i="9"/>
  <c r="D14" i="9"/>
  <c r="AE14" i="9"/>
  <c r="AM48" i="9"/>
  <c r="P50" i="9"/>
  <c r="L51" i="9"/>
  <c r="AG51" i="9"/>
  <c r="AE53" i="9"/>
  <c r="AM54" i="9"/>
  <c r="AM55" i="9"/>
  <c r="H57" i="9"/>
  <c r="AE57" i="9"/>
  <c r="V58" i="9"/>
  <c r="P59" i="9"/>
  <c r="L60" i="9"/>
  <c r="V61" i="9"/>
  <c r="AC62" i="9"/>
  <c r="AG63" i="9"/>
  <c r="AG64" i="9"/>
  <c r="L66" i="9"/>
  <c r="AM66" i="9"/>
  <c r="N68" i="9"/>
  <c r="L70" i="9"/>
  <c r="L71" i="9"/>
  <c r="T72" i="9"/>
  <c r="AO72" i="9"/>
  <c r="V74" i="9"/>
  <c r="AO6" i="9"/>
  <c r="AO7" i="9"/>
  <c r="F50" i="9"/>
  <c r="AE55" i="9"/>
  <c r="AM59" i="9"/>
  <c r="AE65" i="9"/>
  <c r="AE66" i="9"/>
  <c r="AE68" i="9"/>
  <c r="W15" i="9"/>
  <c r="X11" i="9" s="1"/>
  <c r="BA8" i="9"/>
  <c r="D10" i="9"/>
  <c r="AE10" i="9"/>
  <c r="BD16" i="9"/>
  <c r="BD18" i="9" s="1"/>
  <c r="AE51" i="9"/>
  <c r="AG68" i="9"/>
  <c r="N5" i="9"/>
  <c r="D9" i="9"/>
  <c r="F14" i="9"/>
  <c r="K16" i="9"/>
  <c r="C25" i="9" s="1"/>
  <c r="AJ16" i="9"/>
  <c r="C28" i="9" s="1"/>
  <c r="H49" i="9"/>
  <c r="AE49" i="9"/>
  <c r="V50" i="9"/>
  <c r="AG52" i="9"/>
  <c r="AG53" i="9"/>
  <c r="H55" i="9"/>
  <c r="F56" i="9"/>
  <c r="L57" i="9"/>
  <c r="V59" i="9"/>
  <c r="P60" i="9"/>
  <c r="AE62" i="9"/>
  <c r="L64" i="9"/>
  <c r="AM64" i="9"/>
  <c r="P66" i="9"/>
  <c r="AO66" i="9"/>
  <c r="P68" i="9"/>
  <c r="AE75" i="9"/>
  <c r="AJ18" i="9"/>
  <c r="C60" i="9"/>
  <c r="D52" i="9"/>
  <c r="D54" i="9"/>
  <c r="D55" i="9"/>
  <c r="D56" i="9"/>
  <c r="D48" i="9"/>
  <c r="D57" i="9"/>
  <c r="D49" i="9"/>
  <c r="D58" i="9"/>
  <c r="D50" i="9"/>
  <c r="C33" i="9"/>
  <c r="AB79" i="9"/>
  <c r="L4" i="9"/>
  <c r="L8" i="9"/>
  <c r="L12" i="9"/>
  <c r="O16" i="9"/>
  <c r="AR16" i="9"/>
  <c r="AS14" i="9"/>
  <c r="AS13" i="9"/>
  <c r="AS12" i="9"/>
  <c r="AS11" i="9"/>
  <c r="AS10" i="9"/>
  <c r="AS9" i="9"/>
  <c r="AS8" i="9"/>
  <c r="AS7" i="9"/>
  <c r="AS6" i="9"/>
  <c r="AS5" i="9"/>
  <c r="AS4" i="9"/>
  <c r="M16" i="9"/>
  <c r="T70" i="9"/>
  <c r="AO70" i="9"/>
  <c r="N61" i="9"/>
  <c r="N56" i="9"/>
  <c r="N48" i="9"/>
  <c r="N58" i="9"/>
  <c r="N50" i="9"/>
  <c r="N59" i="9"/>
  <c r="N60" i="9"/>
  <c r="N52" i="9"/>
  <c r="M77" i="9"/>
  <c r="N75" i="9"/>
  <c r="N73" i="9"/>
  <c r="N71" i="9"/>
  <c r="N69" i="9"/>
  <c r="N67" i="9"/>
  <c r="N65" i="9"/>
  <c r="N63" i="9"/>
  <c r="N53" i="9"/>
  <c r="K77" i="9"/>
  <c r="N54" i="9"/>
  <c r="AK61" i="9"/>
  <c r="AK56" i="9"/>
  <c r="AK48" i="9"/>
  <c r="AK58" i="9"/>
  <c r="AK50" i="9"/>
  <c r="AK59" i="9"/>
  <c r="AK60" i="9"/>
  <c r="AK52" i="9"/>
  <c r="AJ77" i="9"/>
  <c r="AK75" i="9"/>
  <c r="AK73" i="9"/>
  <c r="AK71" i="9"/>
  <c r="AK69" i="9"/>
  <c r="AK67" i="9"/>
  <c r="AK65" i="9"/>
  <c r="AK63" i="9"/>
  <c r="AK53" i="9"/>
  <c r="AK54" i="9"/>
  <c r="L5" i="9"/>
  <c r="L9" i="9"/>
  <c r="P12" i="9"/>
  <c r="L13" i="9"/>
  <c r="AC14" i="9"/>
  <c r="AC13" i="9"/>
  <c r="AC12" i="9"/>
  <c r="AC11" i="9"/>
  <c r="AC10" i="9"/>
  <c r="AC9" i="9"/>
  <c r="AC8" i="9"/>
  <c r="AC7" i="9"/>
  <c r="AC6" i="9"/>
  <c r="AC5" i="9"/>
  <c r="AC4" i="9"/>
  <c r="AB16" i="9"/>
  <c r="AW14" i="9"/>
  <c r="AW13" i="9"/>
  <c r="AW12" i="9"/>
  <c r="AW11" i="9"/>
  <c r="AW10" i="9"/>
  <c r="AW9" i="9"/>
  <c r="AW8" i="9"/>
  <c r="AW7" i="9"/>
  <c r="AW6" i="9"/>
  <c r="AW5" i="9"/>
  <c r="AW4" i="9"/>
  <c r="AV16" i="9"/>
  <c r="AK55" i="9"/>
  <c r="N62" i="9"/>
  <c r="AK62" i="9"/>
  <c r="O77" i="9"/>
  <c r="AL77" i="9"/>
  <c r="E29" i="9"/>
  <c r="D53" i="9"/>
  <c r="N64" i="9"/>
  <c r="AK64" i="9"/>
  <c r="T58" i="9"/>
  <c r="T50" i="9"/>
  <c r="T60" i="9"/>
  <c r="T52" i="9"/>
  <c r="S77" i="9"/>
  <c r="T75" i="9"/>
  <c r="T73" i="9"/>
  <c r="T71" i="9"/>
  <c r="T69" i="9"/>
  <c r="T67" i="9"/>
  <c r="T65" i="9"/>
  <c r="T63" i="9"/>
  <c r="T53" i="9"/>
  <c r="T54" i="9"/>
  <c r="T55" i="9"/>
  <c r="T61" i="9"/>
  <c r="T56" i="9"/>
  <c r="T48" i="9"/>
  <c r="AO58" i="9"/>
  <c r="AO50" i="9"/>
  <c r="AO60" i="9"/>
  <c r="AO52" i="9"/>
  <c r="AN77" i="9"/>
  <c r="AO75" i="9"/>
  <c r="AO73" i="9"/>
  <c r="AO71" i="9"/>
  <c r="AO69" i="9"/>
  <c r="AO67" i="9"/>
  <c r="AO65" i="9"/>
  <c r="AO63" i="9"/>
  <c r="AO53" i="9"/>
  <c r="AO54" i="9"/>
  <c r="AO55" i="9"/>
  <c r="AO61" i="9"/>
  <c r="AO56" i="9"/>
  <c r="AO48" i="9"/>
  <c r="P5" i="9"/>
  <c r="L6" i="9"/>
  <c r="P9" i="9"/>
  <c r="L10" i="9"/>
  <c r="V11" i="9"/>
  <c r="P13" i="9"/>
  <c r="L14" i="9"/>
  <c r="AF16" i="9"/>
  <c r="AG14" i="9"/>
  <c r="AG13" i="9"/>
  <c r="AG12" i="9"/>
  <c r="AG11" i="9"/>
  <c r="AG10" i="9"/>
  <c r="AG9" i="9"/>
  <c r="AG8" i="9"/>
  <c r="AG7" i="9"/>
  <c r="AG6" i="9"/>
  <c r="AG5" i="9"/>
  <c r="AG4" i="9"/>
  <c r="BB16" i="9"/>
  <c r="BB18" i="9" s="1"/>
  <c r="BC14" i="9"/>
  <c r="BC13" i="9"/>
  <c r="BC12" i="9"/>
  <c r="BC11" i="9"/>
  <c r="BC10" i="9"/>
  <c r="BC9" i="9"/>
  <c r="BC8" i="9"/>
  <c r="BC7" i="9"/>
  <c r="BC6" i="9"/>
  <c r="BC5" i="9"/>
  <c r="BC4" i="9"/>
  <c r="N55" i="9"/>
  <c r="T59" i="9"/>
  <c r="E60" i="9"/>
  <c r="T62" i="9"/>
  <c r="AO62" i="9"/>
  <c r="N66" i="9"/>
  <c r="AK66" i="9"/>
  <c r="U77" i="9"/>
  <c r="W77" i="9"/>
  <c r="AL16" i="9"/>
  <c r="AM14" i="9"/>
  <c r="AM13" i="9"/>
  <c r="AM12" i="9"/>
  <c r="AM11" i="9"/>
  <c r="AM10" i="9"/>
  <c r="AM9" i="9"/>
  <c r="AM8" i="9"/>
  <c r="AM7" i="9"/>
  <c r="AM6" i="9"/>
  <c r="AM5" i="9"/>
  <c r="AM4" i="9"/>
  <c r="N70" i="9"/>
  <c r="AK70" i="9"/>
  <c r="X50" i="9"/>
  <c r="H52" i="9"/>
  <c r="AE52" i="9"/>
  <c r="X58" i="9"/>
  <c r="G60" i="9"/>
  <c r="AE60" i="9"/>
  <c r="AF77" i="9"/>
  <c r="X48" i="9"/>
  <c r="F49" i="9"/>
  <c r="H50" i="9"/>
  <c r="AE50" i="9"/>
  <c r="P53" i="9"/>
  <c r="AM53" i="9"/>
  <c r="V55" i="9"/>
  <c r="X56" i="9"/>
  <c r="F57" i="9"/>
  <c r="H58" i="9"/>
  <c r="AE58" i="9"/>
  <c r="X61" i="9"/>
  <c r="P63" i="9"/>
  <c r="AM63" i="9"/>
  <c r="P65" i="9"/>
  <c r="AM65" i="9"/>
  <c r="P67" i="9"/>
  <c r="AM67" i="9"/>
  <c r="P69" i="9"/>
  <c r="AM69" i="9"/>
  <c r="P71" i="9"/>
  <c r="AM71" i="9"/>
  <c r="P73" i="9"/>
  <c r="AM73" i="9"/>
  <c r="P75" i="9"/>
  <c r="AM75" i="9"/>
  <c r="H48" i="9"/>
  <c r="AE48" i="9"/>
  <c r="X54" i="9"/>
  <c r="F55" i="9"/>
  <c r="H56" i="9"/>
  <c r="AE56" i="9"/>
  <c r="AE61" i="9"/>
  <c r="V63" i="9"/>
  <c r="V65" i="9"/>
  <c r="V67" i="9"/>
  <c r="V69" i="9"/>
  <c r="V71" i="9"/>
  <c r="V73" i="9"/>
  <c r="V75" i="9"/>
  <c r="X52" i="9"/>
  <c r="AE54" i="9"/>
  <c r="U30" i="8"/>
  <c r="W30" i="8"/>
  <c r="Y30" i="8"/>
  <c r="T30" i="8"/>
  <c r="V14" i="9" l="1"/>
  <c r="V7" i="9"/>
  <c r="V10" i="9"/>
  <c r="X8" i="9"/>
  <c r="G24" i="9"/>
  <c r="G28" i="9"/>
  <c r="V6" i="9"/>
  <c r="T10" i="9"/>
  <c r="T13" i="9"/>
  <c r="T8" i="9"/>
  <c r="V9" i="9"/>
  <c r="X7" i="9"/>
  <c r="T11" i="9"/>
  <c r="T4" i="9"/>
  <c r="W16" i="9"/>
  <c r="W18" i="9" s="1"/>
  <c r="S16" i="9"/>
  <c r="C26" i="9" s="1"/>
  <c r="T9" i="9"/>
  <c r="T7" i="9"/>
  <c r="T6" i="9"/>
  <c r="C24" i="9"/>
  <c r="T14" i="9"/>
  <c r="X13" i="9"/>
  <c r="X12" i="9"/>
  <c r="X4" i="9"/>
  <c r="E27" i="9"/>
  <c r="X10" i="9"/>
  <c r="K18" i="9"/>
  <c r="X9" i="9"/>
  <c r="AD79" i="9"/>
  <c r="E33" i="9"/>
  <c r="X14" i="9"/>
  <c r="X5" i="9"/>
  <c r="U16" i="9"/>
  <c r="E26" i="9" s="1"/>
  <c r="T5" i="9"/>
  <c r="E24" i="9"/>
  <c r="E18" i="9"/>
  <c r="X6" i="9"/>
  <c r="V13" i="9"/>
  <c r="V8" i="9"/>
  <c r="V12" i="9"/>
  <c r="V4" i="9"/>
  <c r="C27" i="9"/>
  <c r="AB18" i="9"/>
  <c r="G62" i="9"/>
  <c r="G30" i="9"/>
  <c r="C34" i="9"/>
  <c r="AJ79" i="9"/>
  <c r="E30" i="9"/>
  <c r="E62" i="9"/>
  <c r="C32" i="9"/>
  <c r="S79" i="9"/>
  <c r="M18" i="9"/>
  <c r="E25" i="9"/>
  <c r="E28" i="9"/>
  <c r="AL18" i="9"/>
  <c r="C31" i="9"/>
  <c r="K79" i="9"/>
  <c r="G34" i="9"/>
  <c r="AN79" i="9"/>
  <c r="W79" i="9"/>
  <c r="G32" i="9"/>
  <c r="AL79" i="9"/>
  <c r="E34" i="9"/>
  <c r="G29" i="9"/>
  <c r="AV18" i="9"/>
  <c r="M79" i="9"/>
  <c r="E31" i="9"/>
  <c r="E32" i="9"/>
  <c r="U79" i="9"/>
  <c r="G27" i="9"/>
  <c r="AF18" i="9"/>
  <c r="O79" i="9"/>
  <c r="G31" i="9"/>
  <c r="S18" i="9"/>
  <c r="C29" i="9"/>
  <c r="AR18" i="9"/>
  <c r="C62" i="9"/>
  <c r="C30" i="9"/>
  <c r="G33" i="9"/>
  <c r="AF79" i="9"/>
  <c r="G25" i="9"/>
  <c r="O18" i="9"/>
  <c r="AC14" i="6"/>
  <c r="AA14" i="6"/>
  <c r="AE13" i="6"/>
  <c r="AE14" i="6" s="1"/>
  <c r="AC13" i="6"/>
  <c r="AA13" i="6"/>
  <c r="AD12" i="6"/>
  <c r="AB11" i="6"/>
  <c r="AB10" i="6"/>
  <c r="AB9" i="6"/>
  <c r="AB8" i="6"/>
  <c r="AB7" i="6"/>
  <c r="AB6" i="6"/>
  <c r="AB5" i="6"/>
  <c r="AB4" i="6"/>
  <c r="AJ3" i="6"/>
  <c r="AI3" i="6"/>
  <c r="AH3" i="6"/>
  <c r="G26" i="9" l="1"/>
  <c r="U18" i="9"/>
  <c r="AB12" i="6"/>
  <c r="AI4" i="6"/>
  <c r="AC16" i="6"/>
  <c r="AA16" i="6"/>
  <c r="AH4" i="6"/>
  <c r="AE16" i="6"/>
  <c r="AJ4" i="6"/>
  <c r="Q13" i="6"/>
  <c r="O13" i="6"/>
  <c r="P12" i="6" s="1"/>
  <c r="AD11" i="6" l="1"/>
  <c r="AD10" i="6"/>
  <c r="AD9" i="6"/>
  <c r="AD8" i="6"/>
  <c r="AD7" i="6"/>
  <c r="AD6" i="6"/>
  <c r="AD5" i="6"/>
  <c r="AD4" i="6"/>
  <c r="P10" i="6"/>
  <c r="P6" i="6"/>
  <c r="P5" i="6"/>
  <c r="P8" i="6"/>
  <c r="P11" i="6"/>
  <c r="P9" i="6"/>
  <c r="P7" i="6"/>
  <c r="P4" i="6"/>
  <c r="S13" i="6" l="1"/>
  <c r="X3" i="6"/>
  <c r="W3" i="6"/>
  <c r="V3" i="6"/>
  <c r="AF10" i="6" l="1"/>
  <c r="AF8" i="6"/>
  <c r="AF6" i="6"/>
  <c r="AF4" i="6"/>
  <c r="AF12" i="6"/>
  <c r="AF11" i="6"/>
  <c r="AF9" i="6"/>
  <c r="AF7" i="6"/>
  <c r="AF5" i="6"/>
  <c r="R6" i="6"/>
  <c r="R8" i="6"/>
  <c r="R10" i="6"/>
  <c r="R5" i="6"/>
  <c r="Q14" i="6"/>
  <c r="R12" i="6"/>
  <c r="R7" i="6"/>
  <c r="R9" i="6"/>
  <c r="R11" i="6"/>
  <c r="R4" i="6"/>
  <c r="O14" i="6"/>
  <c r="T12" i="6"/>
  <c r="T7" i="6"/>
  <c r="T9" i="6"/>
  <c r="T11" i="6"/>
  <c r="T4" i="6"/>
  <c r="T6" i="6"/>
  <c r="T8" i="6"/>
  <c r="T10" i="6"/>
  <c r="T5" i="6"/>
  <c r="S14" i="6"/>
  <c r="P15" i="8"/>
  <c r="Q13" i="8" s="1"/>
  <c r="N15" i="8"/>
  <c r="O14" i="8" s="1"/>
  <c r="L15" i="8"/>
  <c r="H15" i="8"/>
  <c r="I14" i="8" s="1"/>
  <c r="F15" i="8"/>
  <c r="G11" i="8" s="1"/>
  <c r="D15" i="8"/>
  <c r="Q14" i="8"/>
  <c r="M14" i="8"/>
  <c r="G14" i="8"/>
  <c r="M13" i="8"/>
  <c r="G13" i="8"/>
  <c r="M12" i="8"/>
  <c r="G12" i="8"/>
  <c r="M11" i="8"/>
  <c r="E11" i="8"/>
  <c r="M10" i="8"/>
  <c r="M9" i="8"/>
  <c r="M8" i="8"/>
  <c r="O7" i="8"/>
  <c r="M7" i="8"/>
  <c r="E7" i="8"/>
  <c r="M6" i="8"/>
  <c r="M5" i="8"/>
  <c r="M4" i="8"/>
  <c r="I7" i="8" l="1"/>
  <c r="I11" i="8"/>
  <c r="G7" i="8"/>
  <c r="G8" i="8"/>
  <c r="G9" i="8"/>
  <c r="G10" i="8"/>
  <c r="G4" i="8"/>
  <c r="G5" i="8"/>
  <c r="G6" i="8"/>
  <c r="Q10" i="8"/>
  <c r="Q5" i="8"/>
  <c r="Q8" i="8"/>
  <c r="Q12" i="8"/>
  <c r="Q4" i="8"/>
  <c r="Q6" i="8"/>
  <c r="Q7" i="8"/>
  <c r="Q9" i="8"/>
  <c r="Q11" i="8"/>
  <c r="O11" i="8"/>
  <c r="D16" i="8"/>
  <c r="U31" i="8" s="1"/>
  <c r="E5" i="8"/>
  <c r="I5" i="8"/>
  <c r="O5" i="8"/>
  <c r="E9" i="8"/>
  <c r="I9" i="8"/>
  <c r="O9" i="8"/>
  <c r="O13" i="8"/>
  <c r="E13" i="8"/>
  <c r="I13" i="8"/>
  <c r="E4" i="8"/>
  <c r="I4" i="8"/>
  <c r="O4" i="8"/>
  <c r="E6" i="8"/>
  <c r="I6" i="8"/>
  <c r="O6" i="8"/>
  <c r="E8" i="8"/>
  <c r="I8" i="8"/>
  <c r="O8" i="8"/>
  <c r="E10" i="8"/>
  <c r="I10" i="8"/>
  <c r="O10" i="8"/>
  <c r="E12" i="8"/>
  <c r="I12" i="8"/>
  <c r="O12" i="8"/>
  <c r="E14" i="8"/>
  <c r="N16" i="8"/>
  <c r="W32" i="8" s="1"/>
  <c r="H16" i="8"/>
  <c r="Y31" i="8" s="1"/>
  <c r="F16" i="8"/>
  <c r="W31" i="8" s="1"/>
  <c r="L16" i="8"/>
  <c r="U32" i="8" s="1"/>
  <c r="P16" i="8"/>
  <c r="Y32" i="8" s="1"/>
  <c r="N18" i="8"/>
  <c r="G33" i="5"/>
  <c r="E33" i="5"/>
  <c r="C33" i="5"/>
  <c r="C32" i="5"/>
  <c r="D18" i="8" l="1"/>
  <c r="H18" i="8"/>
  <c r="L18" i="8"/>
  <c r="P18" i="8"/>
  <c r="F18" i="8"/>
  <c r="BD15" i="5"/>
  <c r="BE6" i="5" s="1"/>
  <c r="BB15" i="5"/>
  <c r="BC14" i="5" s="1"/>
  <c r="AZ15" i="5"/>
  <c r="G28" i="5"/>
  <c r="E28" i="5"/>
  <c r="C28" i="5"/>
  <c r="BE4" i="5" l="1"/>
  <c r="BE13" i="5"/>
  <c r="BE11" i="5"/>
  <c r="BE9" i="5"/>
  <c r="BE7" i="5"/>
  <c r="BE14" i="5"/>
  <c r="BE5" i="5"/>
  <c r="BE12" i="5"/>
  <c r="BE10" i="5"/>
  <c r="BE8" i="5"/>
  <c r="BD16" i="5"/>
  <c r="BD18" i="5" s="1"/>
  <c r="BC5" i="5"/>
  <c r="BC12" i="5"/>
  <c r="BC10" i="5"/>
  <c r="BC8" i="5"/>
  <c r="BC6" i="5"/>
  <c r="BC4" i="5"/>
  <c r="BC13" i="5"/>
  <c r="BC11" i="5"/>
  <c r="BC9" i="5"/>
  <c r="BC7" i="5"/>
  <c r="BB16" i="5"/>
  <c r="BB18" i="5" s="1"/>
  <c r="AZ16" i="5"/>
  <c r="AZ18" i="5" s="1"/>
  <c r="BA7" i="5"/>
  <c r="BA5" i="5"/>
  <c r="BA9" i="5"/>
  <c r="BA13" i="5"/>
  <c r="BA11" i="5"/>
  <c r="BA4" i="5"/>
  <c r="BA6" i="5"/>
  <c r="BA8" i="5"/>
  <c r="BA10" i="5"/>
  <c r="BA12" i="5"/>
  <c r="BA14" i="5"/>
  <c r="AV15" i="5"/>
  <c r="AW14" i="5" s="1"/>
  <c r="AT15" i="5"/>
  <c r="AU6" i="5" s="1"/>
  <c r="AR15" i="5"/>
  <c r="AS12" i="5" s="1"/>
  <c r="AW10" i="5" l="1"/>
  <c r="AW6" i="5"/>
  <c r="AW5" i="5"/>
  <c r="AW12" i="5"/>
  <c r="AW8" i="5"/>
  <c r="AW4" i="5"/>
  <c r="AW13" i="5"/>
  <c r="AW11" i="5"/>
  <c r="AW9" i="5"/>
  <c r="AW7" i="5"/>
  <c r="AU13" i="5"/>
  <c r="AU11" i="5"/>
  <c r="AU9" i="5"/>
  <c r="AU7" i="5"/>
  <c r="AU14" i="5"/>
  <c r="AU4" i="5"/>
  <c r="AU5" i="5"/>
  <c r="AU12" i="5"/>
  <c r="AU10" i="5"/>
  <c r="AU8" i="5"/>
  <c r="AS10" i="5"/>
  <c r="AS6" i="5"/>
  <c r="AS4" i="5"/>
  <c r="AS8" i="5"/>
  <c r="AR16" i="5"/>
  <c r="AR18" i="5" s="1"/>
  <c r="AT16" i="5"/>
  <c r="AT18" i="5" s="1"/>
  <c r="AS5" i="5"/>
  <c r="AS7" i="5"/>
  <c r="AS9" i="5"/>
  <c r="AS11" i="5"/>
  <c r="AS13" i="5"/>
  <c r="AV16" i="5"/>
  <c r="AV18" i="5" s="1"/>
  <c r="AS14" i="5"/>
  <c r="L3" i="6"/>
  <c r="K3" i="6"/>
  <c r="J3" i="6"/>
  <c r="G9" i="6"/>
  <c r="E9" i="6"/>
  <c r="C9" i="6"/>
  <c r="D5" i="6" l="1"/>
  <c r="H7" i="6"/>
  <c r="F7" i="6"/>
  <c r="C10" i="6"/>
  <c r="J4" i="6" s="1"/>
  <c r="F4" i="6"/>
  <c r="F6" i="6"/>
  <c r="F8" i="6"/>
  <c r="H6" i="6"/>
  <c r="G10" i="6"/>
  <c r="L4" i="6" s="1"/>
  <c r="F5" i="6"/>
  <c r="H4" i="6"/>
  <c r="H8" i="6"/>
  <c r="E10" i="6"/>
  <c r="H5" i="6"/>
  <c r="G12" i="6"/>
  <c r="D7" i="6"/>
  <c r="D4" i="6"/>
  <c r="D6" i="6"/>
  <c r="D8" i="6"/>
  <c r="AN75" i="5"/>
  <c r="AO74" i="5" s="1"/>
  <c r="AL75" i="5"/>
  <c r="AM74" i="5" s="1"/>
  <c r="AJ75" i="5"/>
  <c r="AK74" i="5" s="1"/>
  <c r="X4" i="6" l="1"/>
  <c r="S16" i="6"/>
  <c r="Q16" i="6"/>
  <c r="W4" i="6"/>
  <c r="V4" i="6"/>
  <c r="O16" i="6"/>
  <c r="AO48" i="5"/>
  <c r="AO70" i="5"/>
  <c r="AO66" i="5"/>
  <c r="AO64" i="5"/>
  <c r="AO62" i="5"/>
  <c r="AO58" i="5"/>
  <c r="AO56" i="5"/>
  <c r="AO54" i="5"/>
  <c r="AO52" i="5"/>
  <c r="AO50" i="5"/>
  <c r="AO47" i="5"/>
  <c r="AO73" i="5"/>
  <c r="AO71" i="5"/>
  <c r="AO69" i="5"/>
  <c r="AO67" i="5"/>
  <c r="AO65" i="5"/>
  <c r="AO63" i="5"/>
  <c r="AO61" i="5"/>
  <c r="AO59" i="5"/>
  <c r="AO57" i="5"/>
  <c r="AO55" i="5"/>
  <c r="AO53" i="5"/>
  <c r="AO51" i="5"/>
  <c r="AO49" i="5"/>
  <c r="AO72" i="5"/>
  <c r="AO68" i="5"/>
  <c r="AO60" i="5"/>
  <c r="C12" i="6"/>
  <c r="E12" i="6"/>
  <c r="K4" i="6"/>
  <c r="AK70" i="5"/>
  <c r="AK48" i="5"/>
  <c r="AK72" i="5"/>
  <c r="AK73" i="5"/>
  <c r="AK71" i="5"/>
  <c r="AK69" i="5"/>
  <c r="AK67" i="5"/>
  <c r="AK65" i="5"/>
  <c r="AK63" i="5"/>
  <c r="AK61" i="5"/>
  <c r="AK59" i="5"/>
  <c r="AK57" i="5"/>
  <c r="AK55" i="5"/>
  <c r="AK53" i="5"/>
  <c r="AK51" i="5"/>
  <c r="AK49" i="5"/>
  <c r="AK68" i="5"/>
  <c r="AK66" i="5"/>
  <c r="AK64" i="5"/>
  <c r="AK62" i="5"/>
  <c r="AK60" i="5"/>
  <c r="AK58" i="5"/>
  <c r="AK56" i="5"/>
  <c r="AK54" i="5"/>
  <c r="AK52" i="5"/>
  <c r="AK50" i="5"/>
  <c r="AM72" i="5"/>
  <c r="AM68" i="5"/>
  <c r="AM66" i="5"/>
  <c r="AM62" i="5"/>
  <c r="AM58" i="5"/>
  <c r="AM54" i="5"/>
  <c r="AM50" i="5"/>
  <c r="AM47" i="5"/>
  <c r="AM73" i="5"/>
  <c r="AM71" i="5"/>
  <c r="AM69" i="5"/>
  <c r="AM67" i="5"/>
  <c r="AM65" i="5"/>
  <c r="AM63" i="5"/>
  <c r="AM61" i="5"/>
  <c r="AM59" i="5"/>
  <c r="AM57" i="5"/>
  <c r="AM55" i="5"/>
  <c r="AM53" i="5"/>
  <c r="AM51" i="5"/>
  <c r="AM49" i="5"/>
  <c r="AM48" i="5"/>
  <c r="AM70" i="5"/>
  <c r="AM64" i="5"/>
  <c r="AM60" i="5"/>
  <c r="AM56" i="5"/>
  <c r="AM52" i="5"/>
  <c r="AK47" i="5"/>
  <c r="AJ76" i="5"/>
  <c r="AJ78" i="5" s="1"/>
  <c r="AL76" i="5"/>
  <c r="AL78" i="5" s="1"/>
  <c r="AN76" i="5"/>
  <c r="AN78" i="5" s="1"/>
  <c r="V74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48" i="5"/>
  <c r="V47" i="5"/>
  <c r="N74" i="5" l="1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48" i="5"/>
  <c r="N47" i="5"/>
  <c r="AF75" i="5" l="1"/>
  <c r="AD75" i="5"/>
  <c r="AB75" i="5"/>
  <c r="AC56" i="5" s="1"/>
  <c r="AC55" i="5"/>
  <c r="AC53" i="5"/>
  <c r="AC51" i="5"/>
  <c r="AC50" i="5"/>
  <c r="AC49" i="5"/>
  <c r="AG49" i="5" l="1"/>
  <c r="AG51" i="5"/>
  <c r="AG53" i="5"/>
  <c r="AG55" i="5"/>
  <c r="AG57" i="5"/>
  <c r="AG59" i="5"/>
  <c r="AG61" i="5"/>
  <c r="AG63" i="5"/>
  <c r="AG65" i="5"/>
  <c r="AG67" i="5"/>
  <c r="AG69" i="5"/>
  <c r="AG71" i="5"/>
  <c r="AG73" i="5"/>
  <c r="AG47" i="5"/>
  <c r="AG60" i="5"/>
  <c r="AG64" i="5"/>
  <c r="AG70" i="5"/>
  <c r="AG48" i="5"/>
  <c r="AG74" i="5"/>
  <c r="AG50" i="5"/>
  <c r="AG52" i="5"/>
  <c r="AG54" i="5"/>
  <c r="AG56" i="5"/>
  <c r="AG58" i="5"/>
  <c r="AG62" i="5"/>
  <c r="AG66" i="5"/>
  <c r="AG68" i="5"/>
  <c r="AG72" i="5"/>
  <c r="AE74" i="5"/>
  <c r="AE50" i="5"/>
  <c r="AE52" i="5"/>
  <c r="AE54" i="5"/>
  <c r="AE56" i="5"/>
  <c r="AE58" i="5"/>
  <c r="AE60" i="5"/>
  <c r="AE62" i="5"/>
  <c r="AE64" i="5"/>
  <c r="AE66" i="5"/>
  <c r="AE68" i="5"/>
  <c r="AE70" i="5"/>
  <c r="AE72" i="5"/>
  <c r="AE48" i="5"/>
  <c r="AE49" i="5"/>
  <c r="AE51" i="5"/>
  <c r="AE53" i="5"/>
  <c r="AE55" i="5"/>
  <c r="AE57" i="5"/>
  <c r="AE59" i="5"/>
  <c r="AE61" i="5"/>
  <c r="AE63" i="5"/>
  <c r="AE65" i="5"/>
  <c r="AE67" i="5"/>
  <c r="AE69" i="5"/>
  <c r="AE71" i="5"/>
  <c r="AE73" i="5"/>
  <c r="AE47" i="5"/>
  <c r="AC52" i="5"/>
  <c r="AC54" i="5"/>
  <c r="AC73" i="5"/>
  <c r="AD76" i="5"/>
  <c r="AC74" i="5"/>
  <c r="AC59" i="5"/>
  <c r="AC61" i="5"/>
  <c r="AC63" i="5"/>
  <c r="AC65" i="5"/>
  <c r="AC67" i="5"/>
  <c r="AC69" i="5"/>
  <c r="AC71" i="5"/>
  <c r="AC57" i="5"/>
  <c r="AC47" i="5"/>
  <c r="AF76" i="5"/>
  <c r="AC58" i="5"/>
  <c r="AC62" i="5"/>
  <c r="AC64" i="5"/>
  <c r="AC68" i="5"/>
  <c r="AC72" i="5"/>
  <c r="AB76" i="5"/>
  <c r="AC60" i="5"/>
  <c r="AC66" i="5"/>
  <c r="AC70" i="5"/>
  <c r="AC48" i="5"/>
  <c r="AN15" i="5"/>
  <c r="AL15" i="5"/>
  <c r="AJ15" i="5"/>
  <c r="AF78" i="5" l="1"/>
  <c r="G32" i="5"/>
  <c r="AD78" i="5"/>
  <c r="E32" i="5"/>
  <c r="AB78" i="5"/>
  <c r="AO6" i="5"/>
  <c r="AO14" i="5"/>
  <c r="AO7" i="5"/>
  <c r="AO9" i="5"/>
  <c r="AO11" i="5"/>
  <c r="AO13" i="5"/>
  <c r="AO4" i="5"/>
  <c r="AO8" i="5"/>
  <c r="AO10" i="5"/>
  <c r="AO12" i="5"/>
  <c r="AO5" i="5"/>
  <c r="AM6" i="5"/>
  <c r="AN16" i="5"/>
  <c r="G27" i="5" s="1"/>
  <c r="AJ16" i="5"/>
  <c r="C27" i="5" s="1"/>
  <c r="AM14" i="5"/>
  <c r="AM7" i="5"/>
  <c r="AM9" i="5"/>
  <c r="AM11" i="5"/>
  <c r="AM13" i="5"/>
  <c r="AM4" i="5"/>
  <c r="AL16" i="5"/>
  <c r="E27" i="5" s="1"/>
  <c r="AM8" i="5"/>
  <c r="AM10" i="5"/>
  <c r="AM12" i="5"/>
  <c r="AM5" i="5"/>
  <c r="AK5" i="5"/>
  <c r="AK7" i="5"/>
  <c r="AK9" i="5"/>
  <c r="AK11" i="5"/>
  <c r="AK13" i="5"/>
  <c r="AK4" i="5"/>
  <c r="AK6" i="5"/>
  <c r="AK8" i="5"/>
  <c r="AK10" i="5"/>
  <c r="AK12" i="5"/>
  <c r="AK14" i="5"/>
  <c r="W75" i="5"/>
  <c r="U75" i="5"/>
  <c r="S75" i="5"/>
  <c r="O75" i="5"/>
  <c r="M75" i="5"/>
  <c r="K75" i="5"/>
  <c r="L74" i="5" s="1"/>
  <c r="L71" i="5"/>
  <c r="L67" i="5"/>
  <c r="L63" i="5"/>
  <c r="G58" i="5"/>
  <c r="H57" i="5" s="1"/>
  <c r="E58" i="5"/>
  <c r="C58" i="5"/>
  <c r="D56" i="5" s="1"/>
  <c r="D57" i="5"/>
  <c r="L56" i="5"/>
  <c r="F56" i="5"/>
  <c r="D55" i="5"/>
  <c r="L54" i="5"/>
  <c r="F54" i="5"/>
  <c r="D53" i="5"/>
  <c r="L52" i="5"/>
  <c r="F52" i="5"/>
  <c r="D51" i="5"/>
  <c r="L50" i="5"/>
  <c r="F50" i="5"/>
  <c r="F49" i="5"/>
  <c r="H48" i="5"/>
  <c r="H47" i="5"/>
  <c r="F47" i="5"/>
  <c r="D47" i="5"/>
  <c r="AF15" i="5"/>
  <c r="AD15" i="5"/>
  <c r="AB15" i="5"/>
  <c r="O15" i="5"/>
  <c r="M15" i="5"/>
  <c r="K15" i="5"/>
  <c r="L12" i="5" s="1"/>
  <c r="G15" i="5"/>
  <c r="E15" i="5"/>
  <c r="F14" i="5" s="1"/>
  <c r="C15" i="5"/>
  <c r="AC14" i="5"/>
  <c r="W14" i="5"/>
  <c r="U14" i="5"/>
  <c r="S14" i="5"/>
  <c r="L14" i="5"/>
  <c r="AC13" i="5"/>
  <c r="W13" i="5"/>
  <c r="U13" i="5"/>
  <c r="S13" i="5"/>
  <c r="L13" i="5"/>
  <c r="D13" i="5"/>
  <c r="AC12" i="5"/>
  <c r="W12" i="5"/>
  <c r="U12" i="5"/>
  <c r="S12" i="5"/>
  <c r="F12" i="5"/>
  <c r="D12" i="5"/>
  <c r="AC11" i="5"/>
  <c r="W11" i="5"/>
  <c r="U11" i="5"/>
  <c r="S11" i="5"/>
  <c r="L11" i="5"/>
  <c r="D11" i="5"/>
  <c r="AC10" i="5"/>
  <c r="W10" i="5"/>
  <c r="U10" i="5"/>
  <c r="S10" i="5"/>
  <c r="F10" i="5"/>
  <c r="D10" i="5"/>
  <c r="AC9" i="5"/>
  <c r="W9" i="5"/>
  <c r="U9" i="5"/>
  <c r="S9" i="5"/>
  <c r="L9" i="5"/>
  <c r="D9" i="5"/>
  <c r="AC8" i="5"/>
  <c r="W8" i="5"/>
  <c r="U8" i="5"/>
  <c r="S8" i="5"/>
  <c r="F8" i="5"/>
  <c r="D8" i="5"/>
  <c r="AC7" i="5"/>
  <c r="W7" i="5"/>
  <c r="U7" i="5"/>
  <c r="S7" i="5"/>
  <c r="L7" i="5"/>
  <c r="D7" i="5"/>
  <c r="AC6" i="5"/>
  <c r="W6" i="5"/>
  <c r="U6" i="5"/>
  <c r="S6" i="5"/>
  <c r="H6" i="5"/>
  <c r="D6" i="5"/>
  <c r="AC5" i="5"/>
  <c r="W5" i="5"/>
  <c r="U5" i="5"/>
  <c r="S5" i="5"/>
  <c r="H5" i="5"/>
  <c r="D5" i="5"/>
  <c r="AC4" i="5"/>
  <c r="W4" i="5"/>
  <c r="U4" i="5"/>
  <c r="S4" i="5"/>
  <c r="S15" i="5" s="1"/>
  <c r="H4" i="5"/>
  <c r="D4" i="5"/>
  <c r="X74" i="5" l="1"/>
  <c r="X50" i="5"/>
  <c r="X52" i="5"/>
  <c r="X54" i="5"/>
  <c r="X56" i="5"/>
  <c r="X62" i="5"/>
  <c r="X66" i="5"/>
  <c r="X70" i="5"/>
  <c r="X72" i="5"/>
  <c r="X48" i="5"/>
  <c r="X49" i="5"/>
  <c r="X51" i="5"/>
  <c r="X53" i="5"/>
  <c r="X55" i="5"/>
  <c r="X57" i="5"/>
  <c r="X59" i="5"/>
  <c r="X61" i="5"/>
  <c r="X63" i="5"/>
  <c r="X65" i="5"/>
  <c r="X67" i="5"/>
  <c r="X69" i="5"/>
  <c r="X71" i="5"/>
  <c r="X73" i="5"/>
  <c r="X47" i="5"/>
  <c r="X58" i="5"/>
  <c r="X60" i="5"/>
  <c r="X64" i="5"/>
  <c r="X68" i="5"/>
  <c r="T74" i="5"/>
  <c r="T50" i="5"/>
  <c r="T49" i="5"/>
  <c r="T51" i="5"/>
  <c r="T53" i="5"/>
  <c r="T55" i="5"/>
  <c r="T57" i="5"/>
  <c r="T59" i="5"/>
  <c r="T61" i="5"/>
  <c r="T63" i="5"/>
  <c r="T65" i="5"/>
  <c r="T67" i="5"/>
  <c r="T69" i="5"/>
  <c r="T71" i="5"/>
  <c r="T73" i="5"/>
  <c r="T47" i="5"/>
  <c r="T52" i="5"/>
  <c r="T54" i="5"/>
  <c r="T56" i="5"/>
  <c r="T58" i="5"/>
  <c r="T60" i="5"/>
  <c r="T62" i="5"/>
  <c r="T64" i="5"/>
  <c r="T66" i="5"/>
  <c r="T68" i="5"/>
  <c r="T70" i="5"/>
  <c r="T72" i="5"/>
  <c r="T48" i="5"/>
  <c r="U76" i="5"/>
  <c r="O76" i="5"/>
  <c r="P49" i="5"/>
  <c r="P51" i="5"/>
  <c r="P53" i="5"/>
  <c r="P55" i="5"/>
  <c r="P57" i="5"/>
  <c r="P59" i="5"/>
  <c r="P61" i="5"/>
  <c r="P63" i="5"/>
  <c r="P65" i="5"/>
  <c r="P67" i="5"/>
  <c r="P69" i="5"/>
  <c r="P71" i="5"/>
  <c r="P73" i="5"/>
  <c r="P47" i="5"/>
  <c r="P74" i="5"/>
  <c r="P50" i="5"/>
  <c r="P52" i="5"/>
  <c r="P54" i="5"/>
  <c r="P56" i="5"/>
  <c r="P58" i="5"/>
  <c r="P60" i="5"/>
  <c r="P62" i="5"/>
  <c r="P64" i="5"/>
  <c r="P66" i="5"/>
  <c r="P68" i="5"/>
  <c r="P70" i="5"/>
  <c r="P72" i="5"/>
  <c r="P48" i="5"/>
  <c r="P14" i="5"/>
  <c r="P7" i="5"/>
  <c r="P9" i="5"/>
  <c r="P11" i="5"/>
  <c r="P13" i="5"/>
  <c r="P4" i="5"/>
  <c r="P6" i="5"/>
  <c r="P8" i="5"/>
  <c r="P10" i="5"/>
  <c r="P12" i="5"/>
  <c r="P5" i="5"/>
  <c r="AD16" i="5"/>
  <c r="AE14" i="5"/>
  <c r="AE7" i="5"/>
  <c r="AE9" i="5"/>
  <c r="AE11" i="5"/>
  <c r="AE13" i="5"/>
  <c r="AE4" i="5"/>
  <c r="AE6" i="5"/>
  <c r="AE8" i="5"/>
  <c r="AE10" i="5"/>
  <c r="AE12" i="5"/>
  <c r="AE5" i="5"/>
  <c r="AJ18" i="5"/>
  <c r="F4" i="5"/>
  <c r="L4" i="5"/>
  <c r="U15" i="5"/>
  <c r="V14" i="5" s="1"/>
  <c r="F5" i="5"/>
  <c r="L5" i="5"/>
  <c r="V5" i="5"/>
  <c r="F6" i="5"/>
  <c r="L6" i="5"/>
  <c r="V6" i="5"/>
  <c r="F7" i="5"/>
  <c r="L8" i="5"/>
  <c r="V8" i="5"/>
  <c r="F9" i="5"/>
  <c r="L10" i="5"/>
  <c r="V10" i="5"/>
  <c r="F11" i="5"/>
  <c r="V12" i="5"/>
  <c r="F13" i="5"/>
  <c r="C16" i="5"/>
  <c r="N6" i="5"/>
  <c r="N8" i="5"/>
  <c r="N10" i="5"/>
  <c r="N12" i="5"/>
  <c r="N5" i="5"/>
  <c r="N14" i="5"/>
  <c r="N7" i="5"/>
  <c r="N9" i="5"/>
  <c r="N11" i="5"/>
  <c r="N13" i="5"/>
  <c r="N4" i="5"/>
  <c r="AB16" i="5"/>
  <c r="AF16" i="5"/>
  <c r="G26" i="5" s="1"/>
  <c r="AG6" i="5"/>
  <c r="AG8" i="5"/>
  <c r="AG10" i="5"/>
  <c r="AG12" i="5"/>
  <c r="AG5" i="5"/>
  <c r="AG14" i="5"/>
  <c r="AG7" i="5"/>
  <c r="AG9" i="5"/>
  <c r="AG11" i="5"/>
  <c r="AG13" i="5"/>
  <c r="AG4" i="5"/>
  <c r="L47" i="5"/>
  <c r="D48" i="5"/>
  <c r="L48" i="5"/>
  <c r="D49" i="5"/>
  <c r="H49" i="5"/>
  <c r="D50" i="5"/>
  <c r="H50" i="5"/>
  <c r="H51" i="5"/>
  <c r="D52" i="5"/>
  <c r="H52" i="5"/>
  <c r="H53" i="5"/>
  <c r="D54" i="5"/>
  <c r="H54" i="5"/>
  <c r="H55" i="5"/>
  <c r="H56" i="5"/>
  <c r="C59" i="5"/>
  <c r="L58" i="5"/>
  <c r="L61" i="5"/>
  <c r="L65" i="5"/>
  <c r="L69" i="5"/>
  <c r="L73" i="5"/>
  <c r="AL18" i="5"/>
  <c r="AN18" i="5"/>
  <c r="W15" i="5"/>
  <c r="U16" i="5" s="1"/>
  <c r="E25" i="5" s="1"/>
  <c r="M16" i="5"/>
  <c r="M18" i="5" s="1"/>
  <c r="K16" i="5"/>
  <c r="K18" i="5" s="1"/>
  <c r="O16" i="5"/>
  <c r="O18" i="5" s="1"/>
  <c r="H7" i="5"/>
  <c r="H8" i="5"/>
  <c r="H9" i="5"/>
  <c r="H10" i="5"/>
  <c r="H11" i="5"/>
  <c r="H12" i="5"/>
  <c r="H13" i="5"/>
  <c r="C26" i="5"/>
  <c r="E26" i="5"/>
  <c r="T14" i="5"/>
  <c r="T12" i="5"/>
  <c r="T10" i="5"/>
  <c r="T8" i="5"/>
  <c r="T6" i="5"/>
  <c r="T4" i="5"/>
  <c r="T5" i="5"/>
  <c r="T7" i="5"/>
  <c r="T9" i="5"/>
  <c r="T11" i="5"/>
  <c r="T13" i="5"/>
  <c r="O78" i="5"/>
  <c r="G30" i="5"/>
  <c r="W16" i="5"/>
  <c r="C23" i="5"/>
  <c r="C18" i="5"/>
  <c r="C61" i="5"/>
  <c r="C29" i="5"/>
  <c r="D14" i="5"/>
  <c r="H14" i="5"/>
  <c r="E16" i="5"/>
  <c r="F48" i="5"/>
  <c r="L62" i="5"/>
  <c r="L64" i="5"/>
  <c r="L66" i="5"/>
  <c r="L68" i="5"/>
  <c r="L70" i="5"/>
  <c r="L72" i="5"/>
  <c r="M76" i="5"/>
  <c r="S76" i="5"/>
  <c r="W76" i="5"/>
  <c r="G16" i="5"/>
  <c r="E59" i="5"/>
  <c r="F57" i="5"/>
  <c r="F55" i="5"/>
  <c r="F53" i="5"/>
  <c r="F51" i="5"/>
  <c r="G59" i="5"/>
  <c r="L60" i="5"/>
  <c r="L59" i="5"/>
  <c r="L57" i="5"/>
  <c r="L55" i="5"/>
  <c r="L53" i="5"/>
  <c r="L51" i="5"/>
  <c r="L49" i="5"/>
  <c r="K76" i="5"/>
  <c r="C31" i="5" l="1"/>
  <c r="S78" i="5"/>
  <c r="G31" i="5"/>
  <c r="W78" i="5"/>
  <c r="E31" i="5"/>
  <c r="U78" i="5"/>
  <c r="AF18" i="5"/>
  <c r="X13" i="5"/>
  <c r="V13" i="5"/>
  <c r="V11" i="5"/>
  <c r="V9" i="5"/>
  <c r="V7" i="5"/>
  <c r="X5" i="5"/>
  <c r="X14" i="5"/>
  <c r="X11" i="5"/>
  <c r="X9" i="5"/>
  <c r="X7" i="5"/>
  <c r="V4" i="5"/>
  <c r="X12" i="5"/>
  <c r="X10" i="5"/>
  <c r="X8" i="5"/>
  <c r="X6" i="5"/>
  <c r="X4" i="5"/>
  <c r="C24" i="5"/>
  <c r="S16" i="5"/>
  <c r="C25" i="5" s="1"/>
  <c r="E24" i="5"/>
  <c r="G24" i="5"/>
  <c r="U18" i="5"/>
  <c r="AB18" i="5"/>
  <c r="AD18" i="5"/>
  <c r="G61" i="5"/>
  <c r="G29" i="5"/>
  <c r="K78" i="5"/>
  <c r="C30" i="5"/>
  <c r="G23" i="5"/>
  <c r="G18" i="5"/>
  <c r="E61" i="5"/>
  <c r="E29" i="5"/>
  <c r="M78" i="5"/>
  <c r="E30" i="5"/>
  <c r="E23" i="5"/>
  <c r="E18" i="5"/>
  <c r="G25" i="5"/>
  <c r="W18" i="5"/>
  <c r="S18" i="5"/>
</calcChain>
</file>

<file path=xl/comments1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8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2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8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3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7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4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7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5.xml><?xml version="1.0" encoding="utf-8"?>
<comments xmlns="http://schemas.openxmlformats.org/spreadsheetml/2006/main">
  <authors>
    <author>Ciaran 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A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</commentList>
</comments>
</file>

<file path=xl/sharedStrings.xml><?xml version="1.0" encoding="utf-8"?>
<sst xmlns="http://schemas.openxmlformats.org/spreadsheetml/2006/main" count="1713" uniqueCount="99">
  <si>
    <t>Release</t>
  </si>
  <si>
    <t>Administration</t>
  </si>
  <si>
    <t>Application Builder</t>
  </si>
  <si>
    <t>CDD</t>
  </si>
  <si>
    <t>Disclosures</t>
  </si>
  <si>
    <t>Link Analysis</t>
  </si>
  <si>
    <t>Scenario Manager</t>
  </si>
  <si>
    <t>Services Manager</t>
  </si>
  <si>
    <t>Watchlist Manager</t>
  </si>
  <si>
    <t>Workflow Configuator</t>
  </si>
  <si>
    <t>Workflows</t>
  </si>
  <si>
    <t>Accounts</t>
  </si>
  <si>
    <t>Alerts</t>
  </si>
  <si>
    <t>Cards</t>
  </si>
  <si>
    <t>Cases</t>
  </si>
  <si>
    <t>Notifications</t>
  </si>
  <si>
    <t>Tasks</t>
  </si>
  <si>
    <t>Transactions</t>
  </si>
  <si>
    <t>Financials</t>
  </si>
  <si>
    <t>Minor Groups</t>
  </si>
  <si>
    <t>Locking</t>
  </si>
  <si>
    <t>Other</t>
  </si>
  <si>
    <t>Component</t>
  </si>
  <si>
    <t>Objective</t>
  </si>
  <si>
    <t>Variance</t>
  </si>
  <si>
    <t>Total Defects</t>
  </si>
  <si>
    <t>% of Defects in Range</t>
  </si>
  <si>
    <t>AML</t>
  </si>
  <si>
    <t>Associatied Parties</t>
  </si>
  <si>
    <t>Build Delivery</t>
  </si>
  <si>
    <t>Command &amp; Control</t>
  </si>
  <si>
    <t>Customers/Subjects</t>
  </si>
  <si>
    <t>Database</t>
  </si>
  <si>
    <t>Exempting/Monitoring</t>
  </si>
  <si>
    <t>FINCEN</t>
  </si>
  <si>
    <t>Installation</t>
  </si>
  <si>
    <t>Performance</t>
  </si>
  <si>
    <t>Screen Capt/Toolbars</t>
  </si>
  <si>
    <t>Screens</t>
  </si>
  <si>
    <t>SOCA</t>
  </si>
  <si>
    <t>Specifications</t>
  </si>
  <si>
    <t>WLM</t>
  </si>
  <si>
    <t>Apps 3.0</t>
  </si>
  <si>
    <t>6.5.1</t>
  </si>
  <si>
    <t>6.5.2</t>
  </si>
  <si>
    <t>FinCEN</t>
  </si>
  <si>
    <t>Apps 3.1</t>
  </si>
  <si>
    <t>FinCEN 2012</t>
  </si>
  <si>
    <t>Command and Control</t>
  </si>
  <si>
    <t>0-4 mo</t>
  </si>
  <si>
    <t>Acknowledgements</t>
  </si>
  <si>
    <t>Code Extentions</t>
  </si>
  <si>
    <t>Database FinCEN 2012</t>
  </si>
  <si>
    <t>eFile FinCEN 2012 - code</t>
  </si>
  <si>
    <t>Interfaces FinCEN 2012</t>
  </si>
  <si>
    <t>Permission FinCEN 2012</t>
  </si>
  <si>
    <t>Screens FinCEN 2012</t>
  </si>
  <si>
    <t>Specifications FinCEN 2012</t>
  </si>
  <si>
    <t>Workbench FinCEN 2012</t>
  </si>
  <si>
    <t>Workflows FinCEN 2012</t>
  </si>
  <si>
    <t>6.5 (Composite)</t>
  </si>
  <si>
    <t>4-12 mo</t>
  </si>
  <si>
    <t>Others</t>
  </si>
  <si>
    <t>4-12+ mo</t>
  </si>
  <si>
    <t>Apps 3.2</t>
  </si>
  <si>
    <t>Apps 4.0</t>
  </si>
  <si>
    <t>UT 1.2.0</t>
  </si>
  <si>
    <t>0-5 mo</t>
  </si>
  <si>
    <t>ETL</t>
  </si>
  <si>
    <t>Vizualiser</t>
  </si>
  <si>
    <t>Scoring</t>
  </si>
  <si>
    <t>Mapping</t>
  </si>
  <si>
    <t>6-12 mo</t>
  </si>
  <si>
    <t>7.0 / 7.0.1</t>
  </si>
  <si>
    <t>7.0/7.0.1</t>
  </si>
  <si>
    <t>AML - Corresp Banking</t>
  </si>
  <si>
    <t>Fraud</t>
  </si>
  <si>
    <t>Screens - Investigations</t>
  </si>
  <si>
    <t>Acquisition and IFS</t>
  </si>
  <si>
    <t>6.7 (Services Issues Only)</t>
  </si>
  <si>
    <t>GI 1.4.0</t>
  </si>
  <si>
    <t>Builder</t>
  </si>
  <si>
    <t>Live</t>
  </si>
  <si>
    <t>Search</t>
  </si>
  <si>
    <t>Workbench</t>
  </si>
  <si>
    <t>Visualizer</t>
  </si>
  <si>
    <t>GI 1.4.1</t>
  </si>
  <si>
    <t>7.0.1</t>
  </si>
  <si>
    <t>7.0.1  (Dec 2014 Release Date)</t>
  </si>
  <si>
    <t>7.1 / 7.1.1 (7.1 GA - 1st April 2015, 7.1.1 GA - June 2015 - QA Stats combined)</t>
  </si>
  <si>
    <t>7.2.x</t>
  </si>
  <si>
    <t>NR Search</t>
  </si>
  <si>
    <t>NR Azure</t>
  </si>
  <si>
    <t>7.1.x</t>
  </si>
  <si>
    <t>5-12 mo</t>
  </si>
  <si>
    <t>7.3.x</t>
  </si>
  <si>
    <t>7.4.x</t>
  </si>
  <si>
    <t>7.5.x</t>
  </si>
  <si>
    <t>7.6.x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</si>
</sst>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409]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B050"/>
      <name val="Calibri"/>
      <family val="2"/>
      <scheme val="minor"/>
    </font>
    <font>
      <sz val="8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1">
    <xf numFmtId="0" fontId="0" fillId="0" borderId="0"/>
    <xf numFmtId="0" fontId="6" fillId="2" borderId="0" applyNumberFormat="0" applyBorder="0" applyAlignment="0" applyProtection="0"/>
    <xf numFmtId="9" fontId="8" fillId="0" borderId="0" applyFont="0" applyFill="0" applyBorder="0" applyAlignment="0" applyProtection="0"/>
    <xf numFmtId="0" fontId="14" fillId="0" borderId="0"/>
    <xf numFmtId="0" fontId="8" fillId="0" borderId="0"/>
    <xf numFmtId="9" fontId="15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5" fillId="0" borderId="0"/>
    <xf numFmtId="0" fontId="15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124">
    <xf numFmtId="0" fontId="0" fillId="0" borderId="0" xfId="0"/>
    <xf numFmtId="0" fontId="2" fillId="0" borderId="0" xfId="0" applyFont="1"/>
    <xf numFmtId="0" fontId="3" fillId="0" borderId="4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Fill="1" applyBorder="1"/>
    <xf numFmtId="0" fontId="0" fillId="0" borderId="10" xfId="0" applyBorder="1"/>
    <xf numFmtId="0" fontId="0" fillId="0" borderId="11" xfId="0" applyBorder="1"/>
    <xf numFmtId="0" fontId="3" fillId="0" borderId="1" xfId="0" applyFont="1" applyBorder="1"/>
    <xf numFmtId="0" fontId="0" fillId="0" borderId="17" xfId="0" applyBorder="1"/>
    <xf numFmtId="9" fontId="4" fillId="0" borderId="18" xfId="0" applyNumberFormat="1" applyFont="1" applyBorder="1"/>
    <xf numFmtId="9" fontId="4" fillId="0" borderId="12" xfId="0" applyNumberFormat="1" applyFont="1" applyBorder="1"/>
    <xf numFmtId="9" fontId="4" fillId="0" borderId="6" xfId="0" applyNumberFormat="1" applyFont="1" applyBorder="1"/>
    <xf numFmtId="9" fontId="4" fillId="0" borderId="13" xfId="0" applyNumberFormat="1" applyFont="1" applyBorder="1"/>
    <xf numFmtId="9" fontId="4" fillId="0" borderId="7" xfId="0" applyNumberFormat="1" applyFont="1" applyBorder="1"/>
    <xf numFmtId="9" fontId="5" fillId="0" borderId="13" xfId="0" applyNumberFormat="1" applyFont="1" applyBorder="1"/>
    <xf numFmtId="9" fontId="5" fillId="0" borderId="19" xfId="0" applyNumberFormat="1" applyFont="1" applyBorder="1"/>
    <xf numFmtId="9" fontId="5" fillId="0" borderId="12" xfId="0" applyNumberFormat="1" applyFont="1" applyBorder="1"/>
    <xf numFmtId="0" fontId="1" fillId="0" borderId="14" xfId="0" applyFont="1" applyBorder="1" applyAlignment="1">
      <alignment horizontal="center"/>
    </xf>
    <xf numFmtId="0" fontId="3" fillId="0" borderId="20" xfId="0" applyFont="1" applyFill="1" applyBorder="1"/>
    <xf numFmtId="0" fontId="3" fillId="0" borderId="21" xfId="0" applyFont="1" applyFill="1" applyBorder="1"/>
    <xf numFmtId="0" fontId="3" fillId="0" borderId="22" xfId="0" applyFont="1" applyFill="1" applyBorder="1"/>
    <xf numFmtId="9" fontId="0" fillId="0" borderId="0" xfId="0" applyNumberFormat="1"/>
    <xf numFmtId="9" fontId="9" fillId="0" borderId="19" xfId="0" applyNumberFormat="1" applyFont="1" applyBorder="1"/>
    <xf numFmtId="9" fontId="9" fillId="0" borderId="12" xfId="0" applyNumberFormat="1" applyFont="1" applyBorder="1"/>
    <xf numFmtId="9" fontId="9" fillId="0" borderId="13" xfId="0" applyNumberFormat="1" applyFont="1" applyBorder="1"/>
    <xf numFmtId="9" fontId="9" fillId="0" borderId="18" xfId="0" applyNumberFormat="1" applyFont="1" applyBorder="1"/>
    <xf numFmtId="1" fontId="0" fillId="0" borderId="0" xfId="0" applyNumberFormat="1"/>
    <xf numFmtId="9" fontId="0" fillId="0" borderId="0" xfId="2" applyFont="1"/>
    <xf numFmtId="0" fontId="0" fillId="0" borderId="0" xfId="0" applyBorder="1"/>
    <xf numFmtId="0" fontId="3" fillId="0" borderId="5" xfId="0" applyFont="1" applyBorder="1"/>
    <xf numFmtId="0" fontId="0" fillId="0" borderId="23" xfId="0" applyBorder="1"/>
    <xf numFmtId="0" fontId="3" fillId="3" borderId="20" xfId="0" applyFont="1" applyFill="1" applyBorder="1"/>
    <xf numFmtId="0" fontId="3" fillId="0" borderId="0" xfId="0" applyFont="1" applyBorder="1"/>
    <xf numFmtId="9" fontId="4" fillId="0" borderId="0" xfId="0" applyNumberFormat="1" applyFont="1" applyBorder="1"/>
    <xf numFmtId="9" fontId="5" fillId="0" borderId="0" xfId="0" applyNumberFormat="1" applyFont="1" applyBorder="1"/>
    <xf numFmtId="9" fontId="9" fillId="0" borderId="0" xfId="0" applyNumberFormat="1" applyFont="1" applyBorder="1"/>
    <xf numFmtId="0" fontId="7" fillId="3" borderId="0" xfId="1" applyFont="1" applyFill="1" applyBorder="1"/>
    <xf numFmtId="0" fontId="3" fillId="0" borderId="14" xfId="0" applyFont="1" applyBorder="1"/>
    <xf numFmtId="9" fontId="4" fillId="0" borderId="24" xfId="0" applyNumberFormat="1" applyFont="1" applyBorder="1"/>
    <xf numFmtId="0" fontId="3" fillId="0" borderId="4" xfId="11" applyFont="1" applyBorder="1"/>
    <xf numFmtId="0" fontId="3" fillId="0" borderId="2" xfId="11" applyFont="1" applyBorder="1"/>
    <xf numFmtId="0" fontId="3" fillId="0" borderId="1" xfId="11" applyFont="1" applyBorder="1"/>
    <xf numFmtId="0" fontId="3" fillId="0" borderId="5" xfId="11" applyFont="1" applyBorder="1"/>
    <xf numFmtId="0" fontId="0" fillId="0" borderId="27" xfId="0" applyBorder="1"/>
    <xf numFmtId="9" fontId="4" fillId="0" borderId="26" xfId="0" applyNumberFormat="1" applyFont="1" applyBorder="1"/>
    <xf numFmtId="9" fontId="9" fillId="0" borderId="29" xfId="0" applyNumberFormat="1" applyFont="1" applyBorder="1"/>
    <xf numFmtId="0" fontId="3" fillId="3" borderId="30" xfId="0" applyFont="1" applyFill="1" applyBorder="1"/>
    <xf numFmtId="0" fontId="3" fillId="3" borderId="31" xfId="0" applyFont="1" applyFill="1" applyBorder="1"/>
    <xf numFmtId="0" fontId="3" fillId="3" borderId="28" xfId="0" applyFont="1" applyFill="1" applyBorder="1"/>
    <xf numFmtId="1" fontId="3" fillId="0" borderId="0" xfId="0" applyNumberFormat="1" applyFont="1" applyBorder="1"/>
    <xf numFmtId="1" fontId="0" fillId="0" borderId="11" xfId="0" applyNumberFormat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9" fontId="9" fillId="0" borderId="25" xfId="0" applyNumberFormat="1" applyFont="1" applyBorder="1"/>
    <xf numFmtId="0" fontId="1" fillId="0" borderId="0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17" xfId="0" applyFill="1" applyBorder="1"/>
    <xf numFmtId="9" fontId="9" fillId="0" borderId="18" xfId="0" applyNumberFormat="1" applyFont="1" applyFill="1" applyBorder="1"/>
    <xf numFmtId="0" fontId="0" fillId="0" borderId="11" xfId="0" applyFill="1" applyBorder="1"/>
    <xf numFmtId="9" fontId="9" fillId="0" borderId="12" xfId="0" applyNumberFormat="1" applyFont="1" applyFill="1" applyBorder="1"/>
    <xf numFmtId="0" fontId="0" fillId="0" borderId="10" xfId="0" applyFill="1" applyBorder="1"/>
    <xf numFmtId="9" fontId="4" fillId="0" borderId="6" xfId="0" applyNumberFormat="1" applyFont="1" applyFill="1" applyBorder="1"/>
    <xf numFmtId="9" fontId="9" fillId="0" borderId="19" xfId="0" applyNumberFormat="1" applyFont="1" applyFill="1" applyBorder="1"/>
    <xf numFmtId="9" fontId="4" fillId="0" borderId="13" xfId="0" applyNumberFormat="1" applyFont="1" applyFill="1" applyBorder="1"/>
    <xf numFmtId="9" fontId="4" fillId="0" borderId="7" xfId="0" applyNumberFormat="1" applyFont="1" applyFill="1" applyBorder="1"/>
    <xf numFmtId="0" fontId="0" fillId="0" borderId="11" xfId="0" applyFont="1" applyBorder="1"/>
    <xf numFmtId="0" fontId="0" fillId="0" borderId="23" xfId="0" applyFill="1" applyBorder="1"/>
    <xf numFmtId="16" fontId="0" fillId="0" borderId="0" xfId="0" applyNumberFormat="1"/>
    <xf numFmtId="164" fontId="2" fillId="0" borderId="0" xfId="0" applyNumberFormat="1" applyFont="1"/>
    <xf numFmtId="0" fontId="1" fillId="0" borderId="0" xfId="0" applyFont="1"/>
    <xf numFmtId="0" fontId="17" fillId="0" borderId="34" xfId="11" applyFont="1" applyBorder="1" applyAlignment="1">
      <alignment horizontal="left"/>
    </xf>
    <xf numFmtId="0" fontId="17" fillId="0" borderId="2" xfId="11" applyFont="1" applyBorder="1" applyAlignment="1">
      <alignment horizontal="left"/>
    </xf>
    <xf numFmtId="0" fontId="1" fillId="0" borderId="28" xfId="0" applyFont="1" applyBorder="1" applyAlignment="1">
      <alignment horizontal="center"/>
    </xf>
    <xf numFmtId="9" fontId="0" fillId="0" borderId="0" xfId="2" applyFont="1" applyAlignment="1">
      <alignment horizontal="right"/>
    </xf>
    <xf numFmtId="0" fontId="1" fillId="0" borderId="0" xfId="0" applyNumberFormat="1" applyFont="1" applyBorder="1" applyAlignment="1">
      <alignment horizontal="center"/>
    </xf>
    <xf numFmtId="164" fontId="0" fillId="0" borderId="0" xfId="0" applyNumberFormat="1"/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" fontId="1" fillId="0" borderId="15" xfId="0" applyNumberFormat="1" applyFont="1" applyBorder="1" applyAlignment="1">
      <alignment horizontal="center"/>
    </xf>
    <xf numFmtId="0" fontId="1" fillId="0" borderId="16" xfId="0" applyNumberFormat="1" applyFont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16" fontId="1" fillId="0" borderId="15" xfId="0" applyNumberFormat="1" applyFont="1" applyFill="1" applyBorder="1" applyAlignment="1">
      <alignment horizontal="center"/>
    </xf>
    <xf numFmtId="0" fontId="1" fillId="0" borderId="16" xfId="0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9" fontId="7" fillId="3" borderId="9" xfId="1" applyNumberFormat="1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0" fillId="0" borderId="33" xfId="0" applyBorder="1" applyAlignment="1">
      <alignment horizontal="center"/>
    </xf>
    <xf numFmtId="1" fontId="1" fillId="0" borderId="32" xfId="0" applyNumberFormat="1" applyFon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9" fontId="7" fillId="0" borderId="9" xfId="0" applyNumberFormat="1" applyFont="1" applyBorder="1" applyAlignment="1">
      <alignment horizontal="center"/>
    </xf>
    <xf numFmtId="9" fontId="7" fillId="3" borderId="8" xfId="1" applyNumberFormat="1" applyFont="1" applyFill="1" applyBorder="1" applyAlignment="1">
      <alignment horizontal="center"/>
    </xf>
    <xf numFmtId="9" fontId="10" fillId="3" borderId="9" xfId="0" applyNumberFormat="1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9" fontId="7" fillId="0" borderId="8" xfId="0" applyNumberFormat="1" applyFont="1" applyBorder="1" applyAlignment="1">
      <alignment horizontal="center"/>
    </xf>
    <xf numFmtId="16" fontId="0" fillId="0" borderId="0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" fontId="1" fillId="3" borderId="9" xfId="0" applyNumberFormat="1" applyFont="1" applyFill="1" applyBorder="1" applyAlignment="1">
      <alignment horizontal="center"/>
    </xf>
    <xf numFmtId="1" fontId="1" fillId="3" borderId="8" xfId="0" applyNumberFormat="1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9" fontId="10" fillId="3" borderId="9" xfId="1" applyNumberFormat="1" applyFont="1" applyFill="1" applyBorder="1" applyAlignment="1">
      <alignment horizontal="center"/>
    </xf>
    <xf numFmtId="9" fontId="10" fillId="3" borderId="8" xfId="1" applyNumberFormat="1" applyFont="1" applyFill="1" applyBorder="1" applyAlignment="1">
      <alignment horizontal="center"/>
    </xf>
    <xf numFmtId="9" fontId="1" fillId="3" borderId="9" xfId="0" applyNumberFormat="1" applyFont="1" applyFill="1" applyBorder="1" applyAlignment="1">
      <alignment horizontal="center"/>
    </xf>
    <xf numFmtId="9" fontId="1" fillId="3" borderId="8" xfId="0" applyNumberFormat="1" applyFont="1" applyFill="1" applyBorder="1" applyAlignment="1">
      <alignment horizontal="center"/>
    </xf>
    <xf numFmtId="0" fontId="16" fillId="0" borderId="8" xfId="0" applyFont="1" applyBorder="1" applyAlignment="1">
      <alignment horizontal="center"/>
    </xf>
    <xf numFmtId="9" fontId="1" fillId="0" borderId="9" xfId="0" applyNumberFormat="1" applyFont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0" fillId="0" borderId="9" xfId="0" applyNumberFormat="1" applyFont="1" applyBorder="1" applyAlignment="1">
      <alignment horizontal="center"/>
    </xf>
    <xf numFmtId="9" fontId="10" fillId="0" borderId="8" xfId="0" applyNumberFormat="1" applyFont="1" applyBorder="1" applyAlignment="1">
      <alignment horizontal="center"/>
    </xf>
    <xf numFmtId="9" fontId="18" fillId="0" borderId="9" xfId="0" applyNumberFormat="1" applyFont="1" applyBorder="1" applyAlignment="1">
      <alignment horizontal="center"/>
    </xf>
    <xf numFmtId="9" fontId="18" fillId="0" borderId="8" xfId="0" applyNumberFormat="1" applyFont="1" applyBorder="1" applyAlignment="1">
      <alignment horizontal="center"/>
    </xf>
    <xf numFmtId="0" fontId="1" fillId="0" borderId="35" xfId="0" applyFont="1" applyBorder="1" applyAlignment="1">
      <alignment horizontal="center"/>
    </xf>
  </cellXfs>
  <cellStyles count="51">
    <cellStyle name="Bad" xfId="1" builtinId="27"/>
    <cellStyle name="Normal" xfId="0" builtinId="0"/>
    <cellStyle name="Normal 10" xfId="21"/>
    <cellStyle name="Normal 11" xfId="22"/>
    <cellStyle name="Normal 12" xfId="23"/>
    <cellStyle name="Normal 13" xfId="24"/>
    <cellStyle name="Normal 14" xfId="25"/>
    <cellStyle name="Normal 15" xfId="26"/>
    <cellStyle name="Normal 16" xfId="27"/>
    <cellStyle name="Normal 17" xfId="13"/>
    <cellStyle name="Normal 2" xfId="4"/>
    <cellStyle name="Normal 2 10" xfId="29"/>
    <cellStyle name="Normal 2 11" xfId="30"/>
    <cellStyle name="Normal 2 12" xfId="31"/>
    <cellStyle name="Normal 2 13" xfId="32"/>
    <cellStyle name="Normal 2 14" xfId="33"/>
    <cellStyle name="Normal 2 15" xfId="34"/>
    <cellStyle name="Normal 2 16" xfId="35"/>
    <cellStyle name="Normal 2 17" xfId="28"/>
    <cellStyle name="Normal 2 2" xfId="8"/>
    <cellStyle name="Normal 2 2 2" xfId="36"/>
    <cellStyle name="Normal 2 2 3" xfId="15"/>
    <cellStyle name="Normal 2 3" xfId="10"/>
    <cellStyle name="Normal 2 3 2" xfId="20"/>
    <cellStyle name="Normal 2 3 3" xfId="37"/>
    <cellStyle name="Normal 2 4" xfId="17"/>
    <cellStyle name="Normal 2 4 2" xfId="38"/>
    <cellStyle name="Normal 2 5" xfId="39"/>
    <cellStyle name="Normal 2 6" xfId="40"/>
    <cellStyle name="Normal 2 7" xfId="41"/>
    <cellStyle name="Normal 2 8" xfId="42"/>
    <cellStyle name="Normal 2 9" xfId="43"/>
    <cellStyle name="Normal 3" xfId="6"/>
    <cellStyle name="Normal 3 2" xfId="18"/>
    <cellStyle name="Normal 3 3" xfId="44"/>
    <cellStyle name="Normal 4" xfId="9"/>
    <cellStyle name="Normal 4 2" xfId="45"/>
    <cellStyle name="Normal 4 3" xfId="16"/>
    <cellStyle name="Normal 5" xfId="11"/>
    <cellStyle name="Normal 5 2" xfId="46"/>
    <cellStyle name="Normal 6" xfId="3"/>
    <cellStyle name="Normal 6 2" xfId="47"/>
    <cellStyle name="Normal 7" xfId="48"/>
    <cellStyle name="Normal 8" xfId="49"/>
    <cellStyle name="Normal 9" xfId="50"/>
    <cellStyle name="Percent" xfId="2" builtinId="5"/>
    <cellStyle name="Percent 2" xfId="5"/>
    <cellStyle name="Percent 2 2" xfId="14"/>
    <cellStyle name="Percent 3" xfId="7"/>
    <cellStyle name="Percent 3 2" xfId="19"/>
    <cellStyle name="Percent 4" xfId="12"/>
  </cellStyles>
  <dxfs count="2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25"/>
      <tableStyleElement type="headerRow" dxfId="22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2019+'!$C$29:$C$37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2019+'!$E$22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2019+'!$E$29:$E$37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2019+'!$G$22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2019+'!$G$29:$G$37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8945024"/>
        <c:axId val="48946560"/>
        <c:axId val="0"/>
      </c:bar3DChart>
      <c:catAx>
        <c:axId val="48945024"/>
        <c:scaling>
          <c:orientation val="minMax"/>
        </c:scaling>
        <c:delete val="0"/>
        <c:axPos val="b"/>
        <c:majorTickMark val="out"/>
        <c:minorTickMark val="none"/>
        <c:tickLblPos val="nextTo"/>
        <c:crossAx val="48946560"/>
        <c:crosses val="autoZero"/>
        <c:auto val="1"/>
        <c:lblAlgn val="ctr"/>
        <c:lblOffset val="100"/>
        <c:noMultiLvlLbl val="0"/>
      </c:catAx>
      <c:valAx>
        <c:axId val="48946560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8945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2019+'!$C$35:$C$37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2019+'!$E$22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2019+'!$E$35:$E$37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2019+'!$G$22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2019+'!$G$35:$G$37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339968"/>
        <c:axId val="44341504"/>
        <c:axId val="0"/>
      </c:bar3DChart>
      <c:catAx>
        <c:axId val="44339968"/>
        <c:scaling>
          <c:orientation val="minMax"/>
        </c:scaling>
        <c:delete val="0"/>
        <c:axPos val="b"/>
        <c:majorTickMark val="out"/>
        <c:minorTickMark val="none"/>
        <c:tickLblPos val="nextTo"/>
        <c:crossAx val="44341504"/>
        <c:crosses val="autoZero"/>
        <c:auto val="1"/>
        <c:lblAlgn val="ctr"/>
        <c:lblOffset val="100"/>
        <c:noMultiLvlLbl val="0"/>
      </c:catAx>
      <c:valAx>
        <c:axId val="44341504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339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2019+'!$BM$18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53573888"/>
        <c:axId val="247468032"/>
        <c:axId val="0"/>
      </c:bar3DChart>
      <c:catAx>
        <c:axId val="535738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47468032"/>
        <c:crosses val="autoZero"/>
        <c:auto val="1"/>
        <c:lblAlgn val="ctr"/>
        <c:lblOffset val="100"/>
        <c:noMultiLvlLbl val="0"/>
      </c:catAx>
      <c:valAx>
        <c:axId val="24746803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535738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2019+'!$BB$19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2019+'!$BD$19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44421888"/>
        <c:axId val="44430080"/>
        <c:axId val="0"/>
      </c:bar3DChart>
      <c:catAx>
        <c:axId val="44421888"/>
        <c:scaling>
          <c:orientation val="minMax"/>
        </c:scaling>
        <c:delete val="0"/>
        <c:axPos val="b"/>
        <c:majorTickMark val="none"/>
        <c:minorTickMark val="none"/>
        <c:tickLblPos val="nextTo"/>
        <c:crossAx val="44430080"/>
        <c:crosses val="autoZero"/>
        <c:auto val="1"/>
        <c:lblAlgn val="ctr"/>
        <c:lblOffset val="100"/>
        <c:noMultiLvlLbl val="0"/>
      </c:catAx>
      <c:valAx>
        <c:axId val="4443008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44218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194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7.4.x; </a:t>
                    </a:r>
                  </a:p>
                  <a:p>
                    <a:r>
                      <a:rPr lang="en-US"/>
                      <a:t>80%</a:t>
                    </a:r>
                  </a:p>
                  <a:p>
                    <a:r>
                      <a:rPr lang="en-US"/>
                      <a:t>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16550116550116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7.5.x; </a:t>
                    </a:r>
                  </a:p>
                  <a:p>
                    <a:r>
                      <a:rPr lang="en-US"/>
                      <a:t>93%</a:t>
                    </a:r>
                  </a:p>
                  <a:p>
                    <a:r>
                      <a:rPr lang="en-US"/>
                      <a:t>98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2019+'!$BU$19:$BU$24</c:f>
              <c:numCache>
                <c:formatCode>0%</c:formatCode>
                <c:ptCount val="6"/>
                <c:pt idx="0">
                  <c:v>0.63471502590673579</c:v>
                </c:pt>
                <c:pt idx="1">
                  <c:v>0.70219435736677116</c:v>
                </c:pt>
                <c:pt idx="2">
                  <c:v>0.84347826086956523</c:v>
                </c:pt>
                <c:pt idx="3">
                  <c:v>0.7807017543859649</c:v>
                </c:pt>
                <c:pt idx="4">
                  <c:v>0.82242990654205606</c:v>
                </c:pt>
                <c:pt idx="5">
                  <c:v>0.77348066298342544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7.1.x;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13%, 51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7143078827028188E-2"/>
                  <c:y val="1.162215737018886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7.2.x;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7%, 21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166043252343032E-2"/>
                  <c:y val="3.963933704091184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4%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8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8065111200737165E-2"/>
                  <c:y val="2.331002331002331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10%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39860139860139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7.5.x;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2019+'!$BW$19:$BW$24</c:f>
              <c:numCache>
                <c:formatCode>0%</c:formatCode>
                <c:ptCount val="6"/>
                <c:pt idx="0">
                  <c:v>0.13212435233160622</c:v>
                </c:pt>
                <c:pt idx="1">
                  <c:v>6.5830721003134793E-2</c:v>
                </c:pt>
                <c:pt idx="2">
                  <c:v>3.4782608695652174E-2</c:v>
                </c:pt>
                <c:pt idx="3">
                  <c:v>6.1403508771929821E-2</c:v>
                </c:pt>
                <c:pt idx="4">
                  <c:v>5.6074766355140186E-2</c:v>
                </c:pt>
                <c:pt idx="5">
                  <c:v>1.6574585635359115E-2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1.6240526010510247E-2"/>
                  <c:y val="-2.7972211515518604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7.1.x;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90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8959198218138327E-2"/>
                  <c:y val="-3.4956959051447238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7.2.x;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74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3816266350807427E-2"/>
                  <c:y val="-2.5685993796230006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11%,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12</a:t>
                    </a:r>
                    <a:r>
                      <a:rPr lang="en-US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3569936254176495E-2"/>
                  <c:y val="-1.86480186480186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7.5.x; </a:t>
                    </a:r>
                  </a:p>
                  <a:p>
                    <a:r>
                      <a:rPr lang="en-US"/>
                      <a:t>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2019+'!$BY$19:$BY$24</c:f>
              <c:numCache>
                <c:formatCode>0%</c:formatCode>
                <c:ptCount val="6"/>
                <c:pt idx="0">
                  <c:v>0.23316062176165803</c:v>
                </c:pt>
                <c:pt idx="1">
                  <c:v>0.23197492163009403</c:v>
                </c:pt>
                <c:pt idx="2">
                  <c:v>0.12173913043478261</c:v>
                </c:pt>
                <c:pt idx="3">
                  <c:v>0.15789473684210525</c:v>
                </c:pt>
                <c:pt idx="4">
                  <c:v>0.12149532710280374</c:v>
                </c:pt>
                <c:pt idx="5">
                  <c:v>0.20994475138121546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49424256"/>
        <c:axId val="49425792"/>
        <c:axId val="0"/>
      </c:bar3DChart>
      <c:catAx>
        <c:axId val="4942425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49425792"/>
        <c:crosses val="autoZero"/>
        <c:auto val="1"/>
        <c:lblAlgn val="ctr"/>
        <c:lblOffset val="100"/>
        <c:noMultiLvlLbl val="0"/>
      </c:catAx>
      <c:valAx>
        <c:axId val="4942579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942425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2019+'!$BU$58:$BU$62</c:f>
              <c:numCache>
                <c:formatCode>0%</c:formatCode>
                <c:ptCount val="5"/>
                <c:pt idx="0">
                  <c:v>0.70219435736677116</c:v>
                </c:pt>
                <c:pt idx="1">
                  <c:v>0.84347826086956523</c:v>
                </c:pt>
                <c:pt idx="2">
                  <c:v>0.7807017543859649</c:v>
                </c:pt>
                <c:pt idx="3">
                  <c:v>0.82242990654205606</c:v>
                </c:pt>
                <c:pt idx="4">
                  <c:v>0.77348066298342544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2019+'!$BW$58:$BW$62</c:f>
              <c:numCache>
                <c:formatCode>0%</c:formatCode>
                <c:ptCount val="5"/>
                <c:pt idx="0">
                  <c:v>6.5830721003134793E-2</c:v>
                </c:pt>
                <c:pt idx="1">
                  <c:v>3.4782608695652174E-2</c:v>
                </c:pt>
                <c:pt idx="2">
                  <c:v>6.1403508771929821E-2</c:v>
                </c:pt>
                <c:pt idx="3">
                  <c:v>5.6074766355140186E-2</c:v>
                </c:pt>
                <c:pt idx="4">
                  <c:v>1.6574585635359115E-2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2019+'!$BY$58:$BY$62</c:f>
              <c:numCache>
                <c:formatCode>0%</c:formatCode>
                <c:ptCount val="5"/>
                <c:pt idx="0">
                  <c:v>0.23197492163009403</c:v>
                </c:pt>
                <c:pt idx="1">
                  <c:v>0.12173913043478261</c:v>
                </c:pt>
                <c:pt idx="2">
                  <c:v>0.15789473684210525</c:v>
                </c:pt>
                <c:pt idx="3">
                  <c:v>0.12149532710280374</c:v>
                </c:pt>
                <c:pt idx="4">
                  <c:v>0.20994475138121546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49473024"/>
        <c:axId val="49474560"/>
        <c:axId val="0"/>
      </c:bar3DChart>
      <c:catAx>
        <c:axId val="494730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49474560"/>
        <c:crosses val="autoZero"/>
        <c:auto val="1"/>
        <c:lblAlgn val="ctr"/>
        <c:lblOffset val="100"/>
        <c:noMultiLvlLbl val="0"/>
      </c:catAx>
      <c:valAx>
        <c:axId val="4947456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947302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2019+'!$BU$59:$BU$60</c:f>
              <c:numCache>
                <c:formatCode>0%</c:formatCode>
                <c:ptCount val="2"/>
                <c:pt idx="0">
                  <c:v>0.84347826086956523</c:v>
                </c:pt>
                <c:pt idx="1">
                  <c:v>0.7807017543859649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2019+'!$BW$59:$BW$60</c:f>
              <c:numCache>
                <c:formatCode>0%</c:formatCode>
                <c:ptCount val="2"/>
                <c:pt idx="0">
                  <c:v>3.4782608695652174E-2</c:v>
                </c:pt>
                <c:pt idx="1">
                  <c:v>6.1403508771929821E-2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2019+'!$BY$59:$BY$60</c:f>
              <c:numCache>
                <c:formatCode>0%</c:formatCode>
                <c:ptCount val="2"/>
                <c:pt idx="0">
                  <c:v>0.12173913043478261</c:v>
                </c:pt>
                <c:pt idx="1">
                  <c:v>0.15789473684210525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49506176"/>
        <c:axId val="49507712"/>
        <c:axId val="0"/>
      </c:bar3DChart>
      <c:catAx>
        <c:axId val="49506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49507712"/>
        <c:crosses val="autoZero"/>
        <c:auto val="1"/>
        <c:lblAlgn val="ctr"/>
        <c:lblOffset val="100"/>
        <c:noMultiLvlLbl val="0"/>
      </c:catAx>
      <c:valAx>
        <c:axId val="49507712"/>
        <c:scaling>
          <c:orientation val="minMax"/>
          <c:min val="0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950617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2018+'!$C$29:$C$37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2018+'!$E$22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2018+'!$E$29:$E$37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2018+'!$G$22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2018+'!$G$29:$G$37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9663360"/>
        <c:axId val="49665152"/>
        <c:axId val="0"/>
      </c:bar3DChart>
      <c:catAx>
        <c:axId val="4966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49665152"/>
        <c:crosses val="autoZero"/>
        <c:auto val="1"/>
        <c:lblAlgn val="ctr"/>
        <c:lblOffset val="100"/>
        <c:noMultiLvlLbl val="0"/>
      </c:catAx>
      <c:valAx>
        <c:axId val="49665152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9663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2018+'!$C$35:$C$37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2018+'!$E$22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2018+'!$E$35:$E$37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2018+'!$G$22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2018+'!$G$35:$G$37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9103616"/>
        <c:axId val="49105152"/>
        <c:axId val="0"/>
      </c:bar3DChart>
      <c:catAx>
        <c:axId val="49103616"/>
        <c:scaling>
          <c:orientation val="minMax"/>
        </c:scaling>
        <c:delete val="0"/>
        <c:axPos val="b"/>
        <c:majorTickMark val="out"/>
        <c:minorTickMark val="none"/>
        <c:tickLblPos val="nextTo"/>
        <c:crossAx val="49105152"/>
        <c:crosses val="autoZero"/>
        <c:auto val="1"/>
        <c:lblAlgn val="ctr"/>
        <c:lblOffset val="100"/>
        <c:noMultiLvlLbl val="0"/>
      </c:catAx>
      <c:valAx>
        <c:axId val="49105152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9103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2018+'!$BM$18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49342720"/>
        <c:axId val="49676288"/>
        <c:axId val="0"/>
      </c:bar3DChart>
      <c:catAx>
        <c:axId val="49342720"/>
        <c:scaling>
          <c:orientation val="minMax"/>
        </c:scaling>
        <c:delete val="0"/>
        <c:axPos val="b"/>
        <c:majorTickMark val="none"/>
        <c:minorTickMark val="none"/>
        <c:tickLblPos val="nextTo"/>
        <c:crossAx val="49676288"/>
        <c:crosses val="autoZero"/>
        <c:auto val="1"/>
        <c:lblAlgn val="ctr"/>
        <c:lblOffset val="100"/>
        <c:noMultiLvlLbl val="0"/>
      </c:catAx>
      <c:valAx>
        <c:axId val="4967628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93427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2018+'!$BB$19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2018+'!$BD$19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49701632"/>
        <c:axId val="49726208"/>
        <c:axId val="0"/>
      </c:bar3DChart>
      <c:catAx>
        <c:axId val="49701632"/>
        <c:scaling>
          <c:orientation val="minMax"/>
        </c:scaling>
        <c:delete val="0"/>
        <c:axPos val="b"/>
        <c:majorTickMark val="none"/>
        <c:minorTickMark val="none"/>
        <c:tickLblPos val="nextTo"/>
        <c:crossAx val="49726208"/>
        <c:crosses val="autoZero"/>
        <c:auto val="1"/>
        <c:lblAlgn val="ctr"/>
        <c:lblOffset val="100"/>
        <c:noMultiLvlLbl val="0"/>
      </c:catAx>
      <c:valAx>
        <c:axId val="4972620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97016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194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7.4.x; </a:t>
                    </a:r>
                  </a:p>
                  <a:p>
                    <a:r>
                      <a:rPr lang="en-US"/>
                      <a:t>80%</a:t>
                    </a:r>
                  </a:p>
                  <a:p>
                    <a:r>
                      <a:rPr lang="en-US"/>
                      <a:t>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16550116550116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7.5.x; </a:t>
                    </a:r>
                  </a:p>
                  <a:p>
                    <a:r>
                      <a:rPr lang="en-US"/>
                      <a:t>93%</a:t>
                    </a:r>
                  </a:p>
                  <a:p>
                    <a:r>
                      <a:rPr lang="en-US"/>
                      <a:t>98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2018+'!$BU$19:$BU$24</c:f>
              <c:numCache>
                <c:formatCode>0%</c:formatCode>
                <c:ptCount val="6"/>
                <c:pt idx="0">
                  <c:v>0.63471502590673579</c:v>
                </c:pt>
                <c:pt idx="1">
                  <c:v>0.70219435736677116</c:v>
                </c:pt>
                <c:pt idx="2">
                  <c:v>0.84347826086956523</c:v>
                </c:pt>
                <c:pt idx="3">
                  <c:v>0.7946428571428571</c:v>
                </c:pt>
                <c:pt idx="4">
                  <c:v>0.82242990654205606</c:v>
                </c:pt>
                <c:pt idx="5">
                  <c:v>0.92500000000000004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7.1.x;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13%, 51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7143078827028188E-2"/>
                  <c:y val="1.162215737018886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7.2.x;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7%, 21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166043252343032E-2"/>
                  <c:y val="3.963933704091184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4%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8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8065111200737165E-2"/>
                  <c:y val="2.331002331002331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10%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39860139860139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7.5.x;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2018+'!$BW$19:$BW$24</c:f>
              <c:numCache>
                <c:formatCode>0%</c:formatCode>
                <c:ptCount val="6"/>
                <c:pt idx="0">
                  <c:v>0.13212435233160622</c:v>
                </c:pt>
                <c:pt idx="1">
                  <c:v>6.5830721003134793E-2</c:v>
                </c:pt>
                <c:pt idx="2">
                  <c:v>3.4782608695652174E-2</c:v>
                </c:pt>
                <c:pt idx="3">
                  <c:v>9.8214285714285712E-2</c:v>
                </c:pt>
                <c:pt idx="4">
                  <c:v>4.6728971962616821E-2</c:v>
                </c:pt>
                <c:pt idx="5">
                  <c:v>1.8749999999999999E-2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1.6240526010510247E-2"/>
                  <c:y val="-2.7972211515518604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7.1.x;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90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8959198218138327E-2"/>
                  <c:y val="-3.4956959051447238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7.2.x;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74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3816266350807427E-2"/>
                  <c:y val="-2.5685993796230006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11%,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12</a:t>
                    </a:r>
                    <a:r>
                      <a:rPr lang="en-US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3569936254176495E-2"/>
                  <c:y val="-1.86480186480186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7.5.x; </a:t>
                    </a:r>
                  </a:p>
                  <a:p>
                    <a:r>
                      <a:rPr lang="en-US"/>
                      <a:t>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2018+'!$BY$19:$BY$24</c:f>
              <c:numCache>
                <c:formatCode>0%</c:formatCode>
                <c:ptCount val="6"/>
                <c:pt idx="0">
                  <c:v>0.23316062176165803</c:v>
                </c:pt>
                <c:pt idx="1">
                  <c:v>0.23197492163009403</c:v>
                </c:pt>
                <c:pt idx="2">
                  <c:v>0.12173913043478261</c:v>
                </c:pt>
                <c:pt idx="3">
                  <c:v>0.10714285714285714</c:v>
                </c:pt>
                <c:pt idx="4">
                  <c:v>0.13084112149532709</c:v>
                </c:pt>
                <c:pt idx="5">
                  <c:v>5.6250000000000001E-2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77245824"/>
        <c:axId val="77259904"/>
        <c:axId val="0"/>
      </c:bar3DChart>
      <c:catAx>
        <c:axId val="772458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77259904"/>
        <c:crosses val="autoZero"/>
        <c:auto val="1"/>
        <c:lblAlgn val="ctr"/>
        <c:lblOffset val="100"/>
        <c:noMultiLvlLbl val="0"/>
      </c:catAx>
      <c:valAx>
        <c:axId val="77259904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7724582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2018+'!$BU$58:$BU$62</c:f>
              <c:numCache>
                <c:formatCode>0%</c:formatCode>
                <c:ptCount val="5"/>
                <c:pt idx="0">
                  <c:v>0.70219435736677116</c:v>
                </c:pt>
                <c:pt idx="1">
                  <c:v>0.84347826086956523</c:v>
                </c:pt>
                <c:pt idx="2">
                  <c:v>0.7946428571428571</c:v>
                </c:pt>
                <c:pt idx="3">
                  <c:v>0.82242990654205606</c:v>
                </c:pt>
                <c:pt idx="4">
                  <c:v>0.92500000000000004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2018+'!$BW$58:$BW$62</c:f>
              <c:numCache>
                <c:formatCode>0%</c:formatCode>
                <c:ptCount val="5"/>
                <c:pt idx="0">
                  <c:v>6.5830721003134793E-2</c:v>
                </c:pt>
                <c:pt idx="1">
                  <c:v>3.4782608695652174E-2</c:v>
                </c:pt>
                <c:pt idx="2">
                  <c:v>9.8214285714285712E-2</c:v>
                </c:pt>
                <c:pt idx="3">
                  <c:v>4.6728971962616821E-2</c:v>
                </c:pt>
                <c:pt idx="4">
                  <c:v>1.8749999999999999E-2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2018+'!$BY$58:$BY$62</c:f>
              <c:numCache>
                <c:formatCode>0%</c:formatCode>
                <c:ptCount val="5"/>
                <c:pt idx="0">
                  <c:v>0.23197492163009403</c:v>
                </c:pt>
                <c:pt idx="1">
                  <c:v>0.12173913043478261</c:v>
                </c:pt>
                <c:pt idx="2">
                  <c:v>0.10714285714285714</c:v>
                </c:pt>
                <c:pt idx="3">
                  <c:v>0.13084112149532709</c:v>
                </c:pt>
                <c:pt idx="4">
                  <c:v>5.6250000000000001E-2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412908928"/>
        <c:axId val="412918912"/>
        <c:axId val="0"/>
      </c:bar3DChart>
      <c:catAx>
        <c:axId val="41290892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412918912"/>
        <c:crosses val="autoZero"/>
        <c:auto val="1"/>
        <c:lblAlgn val="ctr"/>
        <c:lblOffset val="100"/>
        <c:noMultiLvlLbl val="0"/>
      </c:catAx>
      <c:valAx>
        <c:axId val="41291891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129089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2018+'!$BU$59:$BU$60</c:f>
              <c:numCache>
                <c:formatCode>0%</c:formatCode>
                <c:ptCount val="2"/>
                <c:pt idx="0">
                  <c:v>0.84347826086956523</c:v>
                </c:pt>
                <c:pt idx="1">
                  <c:v>0.7946428571428571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2018+'!$BW$59:$BW$60</c:f>
              <c:numCache>
                <c:formatCode>0%</c:formatCode>
                <c:ptCount val="2"/>
                <c:pt idx="0">
                  <c:v>3.4782608695652174E-2</c:v>
                </c:pt>
                <c:pt idx="1">
                  <c:v>9.8214285714285712E-2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2018+'!$BY$59:$BY$60</c:f>
              <c:numCache>
                <c:formatCode>0%</c:formatCode>
                <c:ptCount val="2"/>
                <c:pt idx="0">
                  <c:v>0.12173913043478261</c:v>
                </c:pt>
                <c:pt idx="1">
                  <c:v>0.10714285714285714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413290496"/>
        <c:axId val="413292032"/>
        <c:axId val="0"/>
      </c:bar3DChart>
      <c:catAx>
        <c:axId val="41329049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413292032"/>
        <c:crosses val="autoZero"/>
        <c:auto val="1"/>
        <c:lblAlgn val="ctr"/>
        <c:lblOffset val="100"/>
        <c:noMultiLvlLbl val="0"/>
      </c:catAx>
      <c:valAx>
        <c:axId val="413292032"/>
        <c:scaling>
          <c:orientation val="minMax"/>
          <c:min val="0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1329049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2016+'!$C$26:$C$34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2016+'!$E$22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2016+'!$E$26:$E$34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2016+'!$G$22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2016+'!$G$26:$G$34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5937152"/>
        <c:axId val="445938688"/>
        <c:axId val="0"/>
      </c:bar3DChart>
      <c:catAx>
        <c:axId val="445937152"/>
        <c:scaling>
          <c:orientation val="minMax"/>
        </c:scaling>
        <c:delete val="0"/>
        <c:axPos val="b"/>
        <c:majorTickMark val="out"/>
        <c:minorTickMark val="none"/>
        <c:tickLblPos val="nextTo"/>
        <c:crossAx val="445938688"/>
        <c:crosses val="autoZero"/>
        <c:auto val="1"/>
        <c:lblAlgn val="ctr"/>
        <c:lblOffset val="100"/>
        <c:noMultiLvlLbl val="0"/>
      </c:catAx>
      <c:valAx>
        <c:axId val="445938688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5937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2016+'!$C$32:$C$34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2016+'!$E$22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2016+'!$E$32:$E$34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2016+'!$G$22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2016+'!$G$32:$G$34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5966592"/>
        <c:axId val="413081600"/>
        <c:axId val="0"/>
      </c:bar3DChart>
      <c:catAx>
        <c:axId val="445966592"/>
        <c:scaling>
          <c:orientation val="minMax"/>
        </c:scaling>
        <c:delete val="0"/>
        <c:axPos val="b"/>
        <c:majorTickMark val="out"/>
        <c:minorTickMark val="none"/>
        <c:tickLblPos val="nextTo"/>
        <c:crossAx val="413081600"/>
        <c:crosses val="autoZero"/>
        <c:auto val="1"/>
        <c:lblAlgn val="ctr"/>
        <c:lblOffset val="100"/>
        <c:noMultiLvlLbl val="0"/>
      </c:catAx>
      <c:valAx>
        <c:axId val="413081600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5966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2016+'!$BM$18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2016+'!$BO$18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413125632"/>
        <c:axId val="413324032"/>
        <c:axId val="0"/>
      </c:bar3DChart>
      <c:catAx>
        <c:axId val="413125632"/>
        <c:scaling>
          <c:orientation val="minMax"/>
        </c:scaling>
        <c:delete val="0"/>
        <c:axPos val="b"/>
        <c:majorTickMark val="none"/>
        <c:minorTickMark val="none"/>
        <c:tickLblPos val="nextTo"/>
        <c:crossAx val="413324032"/>
        <c:crosses val="autoZero"/>
        <c:auto val="1"/>
        <c:lblAlgn val="ctr"/>
        <c:lblOffset val="100"/>
        <c:noMultiLvlLbl val="0"/>
      </c:catAx>
      <c:valAx>
        <c:axId val="41332403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131256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2016+'!$BB$19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2016+'!$BD$19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413144576"/>
        <c:axId val="413152768"/>
        <c:axId val="0"/>
      </c:bar3DChart>
      <c:catAx>
        <c:axId val="413144576"/>
        <c:scaling>
          <c:orientation val="minMax"/>
        </c:scaling>
        <c:delete val="0"/>
        <c:axPos val="b"/>
        <c:majorTickMark val="none"/>
        <c:minorTickMark val="none"/>
        <c:tickLblPos val="nextTo"/>
        <c:crossAx val="413152768"/>
        <c:crosses val="autoZero"/>
        <c:auto val="1"/>
        <c:lblAlgn val="ctr"/>
        <c:lblOffset val="100"/>
        <c:noMultiLvlLbl val="0"/>
      </c:catAx>
      <c:valAx>
        <c:axId val="41315276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1314457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7.4.x; </a:t>
                    </a:r>
                  </a:p>
                  <a:p>
                    <a:r>
                      <a:rPr lang="en-US"/>
                      <a:t>84%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2016+'!$BU$19:$BU$23</c:f>
              <c:numCache>
                <c:formatCode>0%</c:formatCode>
                <c:ptCount val="5"/>
                <c:pt idx="0">
                  <c:v>0.63471502590673579</c:v>
                </c:pt>
                <c:pt idx="1">
                  <c:v>0.70219435736677116</c:v>
                </c:pt>
                <c:pt idx="2">
                  <c:v>0.86222222222222222</c:v>
                </c:pt>
                <c:pt idx="3">
                  <c:v>0.85436893203883491</c:v>
                </c:pt>
                <c:pt idx="4">
                  <c:v>0.96078431372549022</c:v>
                </c:pt>
              </c:numCache>
            </c:numRef>
          </c:val>
        </c:ser>
        <c:ser>
          <c:idx val="2"/>
          <c:order val="1"/>
          <c:tx>
            <c:strRef>
              <c:f>'Post Release Bugs 2016+'!$BW$18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7.1.x; </a:t>
                    </a:r>
                  </a:p>
                  <a:p>
                    <a:r>
                      <a:rPr lang="en-US"/>
                      <a:t>13%, 51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2.236228914162465E-2"/>
                  <c:y val="-2.36376757633842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7.2.x; </a:t>
                    </a:r>
                  </a:p>
                  <a:p>
                    <a:r>
                      <a:rPr lang="en-US"/>
                      <a:t>7%, 21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253715940291704E-2"/>
                  <c:y val="7.005253940455341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7.3.x; </a:t>
                    </a:r>
                  </a:p>
                  <a:p>
                    <a:r>
                      <a:rPr lang="en-US"/>
                      <a:t>4%,8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7021276595744796E-2"/>
                  <c:y val="-2.1404695326968814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</a:t>
                    </a:r>
                  </a:p>
                  <a:p>
                    <a:r>
                      <a:rPr lang="en-US"/>
                      <a:t>7.4.x; 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2016+'!$BW$19:$BW$23</c:f>
              <c:numCache>
                <c:formatCode>0%</c:formatCode>
                <c:ptCount val="5"/>
                <c:pt idx="0">
                  <c:v>0.13212435233160622</c:v>
                </c:pt>
                <c:pt idx="1">
                  <c:v>6.5830721003134793E-2</c:v>
                </c:pt>
                <c:pt idx="2">
                  <c:v>3.5555555555555556E-2</c:v>
                </c:pt>
                <c:pt idx="3">
                  <c:v>0.10679611650485436</c:v>
                </c:pt>
                <c:pt idx="4">
                  <c:v>3.9215686274509803E-2</c:v>
                </c:pt>
              </c:numCache>
            </c:numRef>
          </c:val>
        </c:ser>
        <c:ser>
          <c:idx val="4"/>
          <c:order val="2"/>
          <c:tx>
            <c:strRef>
              <c:f>'Post Release Bugs 2016+'!$BY$18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2.7722772277227723E-2"/>
                  <c:y val="-2.5641025641025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5-12 mo; 7.1.x; </a:t>
                    </a:r>
                  </a:p>
                  <a:p>
                    <a:r>
                      <a:rPr lang="en-US"/>
                      <a:t>23%, 90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2.417844110949546E-2"/>
                  <c:y val="-3.02948733860106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5-12 mo; 7.2.x; </a:t>
                    </a:r>
                  </a:p>
                  <a:p>
                    <a:r>
                      <a:rPr lang="en-US"/>
                      <a:t>23%, 74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7.3.x; 11%</a:t>
                    </a:r>
                  </a:p>
                  <a:p>
                    <a:r>
                      <a:rPr lang="en-US"/>
                      <a:t>23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3210831721469906E-2"/>
                  <c:y val="-2.56859311150029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7.4.x;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2016+'!$BY$19:$BY$23</c:f>
              <c:numCache>
                <c:formatCode>0%</c:formatCode>
                <c:ptCount val="5"/>
                <c:pt idx="0">
                  <c:v>0.23316062176165803</c:v>
                </c:pt>
                <c:pt idx="1">
                  <c:v>0.23197492163009403</c:v>
                </c:pt>
                <c:pt idx="2">
                  <c:v>0.10222222222222223</c:v>
                </c:pt>
                <c:pt idx="3">
                  <c:v>3.8834951456310676E-2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446247296"/>
        <c:axId val="446248832"/>
        <c:axId val="0"/>
      </c:bar3DChart>
      <c:catAx>
        <c:axId val="44624729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446248832"/>
        <c:crosses val="autoZero"/>
        <c:auto val="1"/>
        <c:lblAlgn val="ctr"/>
        <c:lblOffset val="100"/>
        <c:noMultiLvlLbl val="0"/>
      </c:catAx>
      <c:valAx>
        <c:axId val="44624883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4624729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2015+'!$C$22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2015+'!$C$25:$C$33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2015+'!$E$22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2015+'!$E$25:$E$33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2015+'!$G$22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2015+'!$G$25:$G$33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6375808"/>
        <c:axId val="446377344"/>
        <c:axId val="0"/>
      </c:bar3DChart>
      <c:catAx>
        <c:axId val="446375808"/>
        <c:scaling>
          <c:orientation val="minMax"/>
        </c:scaling>
        <c:delete val="0"/>
        <c:axPos val="b"/>
        <c:majorTickMark val="out"/>
        <c:minorTickMark val="none"/>
        <c:tickLblPos val="nextTo"/>
        <c:crossAx val="446377344"/>
        <c:crosses val="autoZero"/>
        <c:auto val="1"/>
        <c:lblAlgn val="ctr"/>
        <c:lblOffset val="100"/>
        <c:noMultiLvlLbl val="0"/>
      </c:catAx>
      <c:valAx>
        <c:axId val="446377344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6375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2015+'!$C$22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2015+'!$C$31:$C$33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2015+'!$E$22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2015+'!$E$31:$E$33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2015+'!$G$22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2015+'!$G$31:$G$33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6429824"/>
        <c:axId val="446124416"/>
        <c:axId val="0"/>
      </c:bar3DChart>
      <c:catAx>
        <c:axId val="44642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446124416"/>
        <c:crosses val="autoZero"/>
        <c:auto val="1"/>
        <c:lblAlgn val="ctr"/>
        <c:lblOffset val="100"/>
        <c:noMultiLvlLbl val="0"/>
      </c:catAx>
      <c:valAx>
        <c:axId val="446124416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6429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2015+ (7.0.1+6.7)'!$U$29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(7.0.1+6.7)'!$U$30:$U$32</c:f>
              <c:numCache>
                <c:formatCode>0%</c:formatCode>
                <c:ptCount val="3"/>
                <c:pt idx="0">
                  <c:v>0.8545454545454545</c:v>
                </c:pt>
                <c:pt idx="1">
                  <c:v>0.71731448763250882</c:v>
                </c:pt>
                <c:pt idx="2">
                  <c:v>0.79581151832460728</c:v>
                </c:pt>
              </c:numCache>
            </c:numRef>
          </c:val>
        </c:ser>
        <c:ser>
          <c:idx val="1"/>
          <c:order val="1"/>
          <c:tx>
            <c:strRef>
              <c:f>'Post Release 2015+ (7.0.1+6.7)'!$W$29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(7.0.1+6.7)'!$W$30:$W$32</c:f>
              <c:numCache>
                <c:formatCode>0%</c:formatCode>
                <c:ptCount val="3"/>
                <c:pt idx="0">
                  <c:v>7.5324675324675322E-2</c:v>
                </c:pt>
                <c:pt idx="1">
                  <c:v>3.1802120141342753E-2</c:v>
                </c:pt>
                <c:pt idx="2">
                  <c:v>0.14659685863874344</c:v>
                </c:pt>
              </c:numCache>
            </c:numRef>
          </c:val>
        </c:ser>
        <c:ser>
          <c:idx val="2"/>
          <c:order val="2"/>
          <c:tx>
            <c:strRef>
              <c:f>'Post Release 2015+ (7.0.1+6.7)'!$Y$29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(7.0.1+6.7)'!$Y$30:$Y$32</c:f>
              <c:numCache>
                <c:formatCode>0%</c:formatCode>
                <c:ptCount val="3"/>
                <c:pt idx="0">
                  <c:v>7.0129870129870125E-2</c:v>
                </c:pt>
                <c:pt idx="1">
                  <c:v>0.25088339222614842</c:v>
                </c:pt>
                <c:pt idx="2">
                  <c:v>5.7591623036649213E-2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6160896"/>
        <c:axId val="446162432"/>
        <c:axId val="0"/>
      </c:bar3DChart>
      <c:catAx>
        <c:axId val="446160896"/>
        <c:scaling>
          <c:orientation val="minMax"/>
        </c:scaling>
        <c:delete val="0"/>
        <c:axPos val="b"/>
        <c:majorTickMark val="out"/>
        <c:minorTickMark val="none"/>
        <c:tickLblPos val="nextTo"/>
        <c:crossAx val="446162432"/>
        <c:crosses val="autoZero"/>
        <c:auto val="1"/>
        <c:lblAlgn val="ctr"/>
        <c:lblOffset val="100"/>
        <c:noMultiLvlLbl val="0"/>
      </c:catAx>
      <c:valAx>
        <c:axId val="446162432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616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2014+'!$J$3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2014+'!$J$4</c:f>
              <c:numCache>
                <c:formatCode>0%</c:formatCode>
                <c:ptCount val="1"/>
                <c:pt idx="0">
                  <c:v>0.88640973630831643</c:v>
                </c:pt>
              </c:numCache>
            </c:numRef>
          </c:val>
        </c:ser>
        <c:ser>
          <c:idx val="1"/>
          <c:order val="1"/>
          <c:tx>
            <c:strRef>
              <c:f>'SNApps 2014+'!$K$3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2014+'!$K$4</c:f>
              <c:numCache>
                <c:formatCode>0%</c:formatCode>
                <c:ptCount val="1"/>
                <c:pt idx="0">
                  <c:v>9.5334685598377281E-2</c:v>
                </c:pt>
              </c:numCache>
            </c:numRef>
          </c:val>
        </c:ser>
        <c:ser>
          <c:idx val="2"/>
          <c:order val="2"/>
          <c:tx>
            <c:strRef>
              <c:f>'SNApps 2014+'!$L$3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2014+'!$L$4</c:f>
              <c:numCache>
                <c:formatCode>0%</c:formatCode>
                <c:ptCount val="1"/>
                <c:pt idx="0">
                  <c:v>1.8255578093306288E-2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9025536"/>
        <c:axId val="449027072"/>
        <c:axId val="0"/>
      </c:bar3DChart>
      <c:catAx>
        <c:axId val="4490255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49027072"/>
        <c:crosses val="autoZero"/>
        <c:auto val="1"/>
        <c:lblAlgn val="ctr"/>
        <c:lblOffset val="100"/>
        <c:noMultiLvlLbl val="0"/>
      </c:catAx>
      <c:valAx>
        <c:axId val="449027072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9025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2014+'!$V$3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2014+'!$V$4</c:f>
              <c:numCache>
                <c:formatCode>0%</c:formatCode>
                <c:ptCount val="1"/>
                <c:pt idx="0">
                  <c:v>0.92307692307692313</c:v>
                </c:pt>
              </c:numCache>
            </c:numRef>
          </c:val>
        </c:ser>
        <c:ser>
          <c:idx val="1"/>
          <c:order val="1"/>
          <c:tx>
            <c:strRef>
              <c:f>'SNApps 2014+'!$W$3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2014+'!$W$4</c:f>
              <c:numCache>
                <c:formatCode>0%</c:formatCode>
                <c:ptCount val="1"/>
                <c:pt idx="0">
                  <c:v>5.128205128205128E-2</c:v>
                </c:pt>
              </c:numCache>
            </c:numRef>
          </c:val>
        </c:ser>
        <c:ser>
          <c:idx val="2"/>
          <c:order val="2"/>
          <c:tx>
            <c:strRef>
              <c:f>'SNApps 2014+'!$X$3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2014+'!$X$4</c:f>
              <c:numCache>
                <c:formatCode>0%</c:formatCode>
                <c:ptCount val="1"/>
                <c:pt idx="0">
                  <c:v>2.564102564102564E-2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8870656"/>
        <c:axId val="448884736"/>
        <c:axId val="0"/>
      </c:bar3DChart>
      <c:catAx>
        <c:axId val="4488706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48884736"/>
        <c:crosses val="autoZero"/>
        <c:auto val="1"/>
        <c:lblAlgn val="ctr"/>
        <c:lblOffset val="100"/>
        <c:noMultiLvlLbl val="0"/>
      </c:catAx>
      <c:valAx>
        <c:axId val="448884736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8870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2014+'!$AH$3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2014+'!$AH$4</c:f>
              <c:numCache>
                <c:formatCode>0%</c:formatCode>
                <c:ptCount val="1"/>
                <c:pt idx="0">
                  <c:v>0.98181818181818181</c:v>
                </c:pt>
              </c:numCache>
            </c:numRef>
          </c:val>
        </c:ser>
        <c:ser>
          <c:idx val="1"/>
          <c:order val="1"/>
          <c:tx>
            <c:strRef>
              <c:f>'SNApps 2014+'!$AI$3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2014+'!$AI$4</c:f>
              <c:numCache>
                <c:formatCode>0%</c:formatCode>
                <c:ptCount val="1"/>
                <c:pt idx="0">
                  <c:v>1.8181818181818181E-2</c:v>
                </c:pt>
              </c:numCache>
            </c:numRef>
          </c:val>
        </c:ser>
        <c:ser>
          <c:idx val="2"/>
          <c:order val="2"/>
          <c:tx>
            <c:strRef>
              <c:f>'SNApps 2014+'!$AJ$3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2014+'!$AJ$4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448924672"/>
        <c:axId val="448938752"/>
        <c:axId val="0"/>
      </c:bar3DChart>
      <c:catAx>
        <c:axId val="4489246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48938752"/>
        <c:crosses val="autoZero"/>
        <c:auto val="1"/>
        <c:lblAlgn val="ctr"/>
        <c:lblOffset val="100"/>
        <c:noMultiLvlLbl val="0"/>
      </c:catAx>
      <c:valAx>
        <c:axId val="448938752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8924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47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91</xdr:row>
      <xdr:rowOff>0</xdr:rowOff>
    </xdr:from>
    <xdr:to>
      <xdr:col>26</xdr:col>
      <xdr:colOff>177800</xdr:colOff>
      <xdr:row>115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54</xdr:row>
      <xdr:rowOff>63500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54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26</xdr:row>
      <xdr:rowOff>88900</xdr:rowOff>
    </xdr:from>
    <xdr:to>
      <xdr:col>89</xdr:col>
      <xdr:colOff>38100</xdr:colOff>
      <xdr:row>54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266702</xdr:colOff>
      <xdr:row>21</xdr:row>
      <xdr:rowOff>114300</xdr:rowOff>
    </xdr:from>
    <xdr:to>
      <xdr:col>106</xdr:col>
      <xdr:colOff>368300</xdr:colOff>
      <xdr:row>61</xdr:row>
      <xdr:rowOff>139700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79</xdr:col>
      <xdr:colOff>0</xdr:colOff>
      <xdr:row>67</xdr:row>
      <xdr:rowOff>0</xdr:rowOff>
    </xdr:from>
    <xdr:to>
      <xdr:col>84</xdr:col>
      <xdr:colOff>244472</xdr:colOff>
      <xdr:row>97</xdr:row>
      <xdr:rowOff>165388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47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91</xdr:row>
      <xdr:rowOff>0</xdr:rowOff>
    </xdr:from>
    <xdr:to>
      <xdr:col>26</xdr:col>
      <xdr:colOff>177800</xdr:colOff>
      <xdr:row>115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54</xdr:row>
      <xdr:rowOff>63500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54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26</xdr:row>
      <xdr:rowOff>88900</xdr:rowOff>
    </xdr:from>
    <xdr:to>
      <xdr:col>89</xdr:col>
      <xdr:colOff>38100</xdr:colOff>
      <xdr:row>54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266702</xdr:colOff>
      <xdr:row>21</xdr:row>
      <xdr:rowOff>114300</xdr:rowOff>
    </xdr:from>
    <xdr:to>
      <xdr:col>106</xdr:col>
      <xdr:colOff>368300</xdr:colOff>
      <xdr:row>61</xdr:row>
      <xdr:rowOff>139700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79</xdr:col>
      <xdr:colOff>0</xdr:colOff>
      <xdr:row>67</xdr:row>
      <xdr:rowOff>0</xdr:rowOff>
    </xdr:from>
    <xdr:to>
      <xdr:col>84</xdr:col>
      <xdr:colOff>244472</xdr:colOff>
      <xdr:row>97</xdr:row>
      <xdr:rowOff>165388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44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82</xdr:row>
      <xdr:rowOff>0</xdr:rowOff>
    </xdr:from>
    <xdr:to>
      <xdr:col>26</xdr:col>
      <xdr:colOff>177800</xdr:colOff>
      <xdr:row>106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51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51</xdr:row>
      <xdr:rowOff>114300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23</xdr:row>
      <xdr:rowOff>88900</xdr:rowOff>
    </xdr:from>
    <xdr:to>
      <xdr:col>89</xdr:col>
      <xdr:colOff>38100</xdr:colOff>
      <xdr:row>51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43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81</xdr:row>
      <xdr:rowOff>0</xdr:rowOff>
    </xdr:from>
    <xdr:to>
      <xdr:col>26</xdr:col>
      <xdr:colOff>177800</xdr:colOff>
      <xdr:row>105</xdr:row>
      <xdr:rowOff>102268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165100</xdr:rowOff>
    </xdr:from>
    <xdr:to>
      <xdr:col>14</xdr:col>
      <xdr:colOff>355600</xdr:colOff>
      <xdr:row>46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603251</xdr:colOff>
      <xdr:row>17</xdr:row>
      <xdr:rowOff>0</xdr:rowOff>
    </xdr:from>
    <xdr:to>
      <xdr:col>7</xdr:col>
      <xdr:colOff>230048</xdr:colOff>
      <xdr:row>43</xdr:row>
      <xdr:rowOff>42333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</xdr:colOff>
      <xdr:row>17</xdr:row>
      <xdr:rowOff>0</xdr:rowOff>
    </xdr:from>
    <xdr:to>
      <xdr:col>19</xdr:col>
      <xdr:colOff>240631</xdr:colOff>
      <xdr:row>43</xdr:row>
      <xdr:rowOff>10583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</xdr:colOff>
      <xdr:row>17</xdr:row>
      <xdr:rowOff>0</xdr:rowOff>
    </xdr:from>
    <xdr:to>
      <xdr:col>31</xdr:col>
      <xdr:colOff>240631</xdr:colOff>
      <xdr:row>47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DF88"/>
  <sheetViews>
    <sheetView showGridLines="0" tabSelected="1" defaultGridColor="0" topLeftCell="BT16" colorId="22" zoomScale="65" zoomScaleNormal="65" workbookViewId="0">
      <selection activeCell="CK59" sqref="CK59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  <col min="104" max="104" width="17.109375" bestFit="1" customWidth="1"/>
  </cols>
  <sheetData>
    <row r="1" spans="2:110" ht="3" customHeight="1" x14ac:dyDescent="0.25"/>
    <row r="2" spans="2:110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  <c r="CZ2" s="69" t="s">
        <v>98</v>
      </c>
    </row>
    <row r="3" spans="2:110" ht="15.75" thickBot="1" x14ac:dyDescent="0.3">
      <c r="B3" s="18" t="s">
        <v>22</v>
      </c>
      <c r="C3" s="86" t="s">
        <v>0</v>
      </c>
      <c r="D3" s="86"/>
      <c r="E3" s="86" t="s">
        <v>49</v>
      </c>
      <c r="F3" s="86"/>
      <c r="G3" s="87" t="s">
        <v>61</v>
      </c>
      <c r="H3" s="88"/>
      <c r="J3" s="18" t="s">
        <v>22</v>
      </c>
      <c r="K3" s="86" t="s">
        <v>0</v>
      </c>
      <c r="L3" s="86"/>
      <c r="M3" s="86" t="s">
        <v>49</v>
      </c>
      <c r="N3" s="86"/>
      <c r="O3" s="90" t="s">
        <v>63</v>
      </c>
      <c r="P3" s="91"/>
      <c r="Q3" s="84"/>
      <c r="R3" s="18" t="s">
        <v>22</v>
      </c>
      <c r="S3" s="86" t="s">
        <v>0</v>
      </c>
      <c r="T3" s="86"/>
      <c r="U3" s="86" t="s">
        <v>49</v>
      </c>
      <c r="V3" s="86"/>
      <c r="W3" s="87" t="s">
        <v>61</v>
      </c>
      <c r="X3" s="88"/>
      <c r="Y3" s="84"/>
      <c r="AA3" s="18" t="s">
        <v>22</v>
      </c>
      <c r="AB3" s="86" t="s">
        <v>0</v>
      </c>
      <c r="AC3" s="86"/>
      <c r="AD3" s="89" t="s">
        <v>49</v>
      </c>
      <c r="AE3" s="89"/>
      <c r="AF3" s="87" t="s">
        <v>61</v>
      </c>
      <c r="AG3" s="88"/>
      <c r="AI3" s="18" t="s">
        <v>22</v>
      </c>
      <c r="AJ3" s="86" t="s">
        <v>0</v>
      </c>
      <c r="AK3" s="86"/>
      <c r="AL3" s="89" t="s">
        <v>49</v>
      </c>
      <c r="AM3" s="89"/>
      <c r="AN3" s="87" t="s">
        <v>61</v>
      </c>
      <c r="AO3" s="88"/>
      <c r="AQ3" s="18" t="s">
        <v>22</v>
      </c>
      <c r="AR3" s="86" t="s">
        <v>0</v>
      </c>
      <c r="AS3" s="86"/>
      <c r="AT3" s="89" t="s">
        <v>49</v>
      </c>
      <c r="AU3" s="89"/>
      <c r="AV3" s="87" t="s">
        <v>61</v>
      </c>
      <c r="AW3" s="88"/>
      <c r="AY3" s="18" t="s">
        <v>22</v>
      </c>
      <c r="AZ3" s="86" t="s">
        <v>0</v>
      </c>
      <c r="BA3" s="86"/>
      <c r="BB3" s="89" t="s">
        <v>49</v>
      </c>
      <c r="BC3" s="89"/>
      <c r="BD3" s="87" t="s">
        <v>61</v>
      </c>
      <c r="BE3" s="88"/>
      <c r="BJ3" s="85" t="s">
        <v>22</v>
      </c>
      <c r="BK3" s="86" t="s">
        <v>0</v>
      </c>
      <c r="BL3" s="86"/>
      <c r="BM3" s="89" t="s">
        <v>49</v>
      </c>
      <c r="BN3" s="89"/>
      <c r="BO3" s="87" t="s">
        <v>94</v>
      </c>
      <c r="BP3" s="88"/>
      <c r="CB3" s="85" t="s">
        <v>22</v>
      </c>
      <c r="CC3" s="86" t="s">
        <v>0</v>
      </c>
      <c r="CD3" s="86"/>
      <c r="CE3" s="89" t="s">
        <v>49</v>
      </c>
      <c r="CF3" s="89"/>
      <c r="CG3" s="87" t="s">
        <v>94</v>
      </c>
      <c r="CH3" s="88"/>
      <c r="CJ3" s="85" t="s">
        <v>22</v>
      </c>
      <c r="CK3" s="86" t="s">
        <v>0</v>
      </c>
      <c r="CL3" s="86"/>
      <c r="CM3" s="89" t="s">
        <v>49</v>
      </c>
      <c r="CN3" s="89"/>
      <c r="CO3" s="87" t="s">
        <v>94</v>
      </c>
      <c r="CP3" s="88"/>
      <c r="CR3" s="85" t="s">
        <v>22</v>
      </c>
      <c r="CS3" s="86" t="s">
        <v>0</v>
      </c>
      <c r="CT3" s="86"/>
      <c r="CU3" s="89" t="s">
        <v>49</v>
      </c>
      <c r="CV3" s="89"/>
      <c r="CW3" s="87" t="s">
        <v>94</v>
      </c>
      <c r="CX3" s="88"/>
      <c r="CZ3" s="85" t="s">
        <v>22</v>
      </c>
      <c r="DA3" s="86" t="s">
        <v>0</v>
      </c>
      <c r="DB3" s="86"/>
      <c r="DC3" s="89" t="s">
        <v>49</v>
      </c>
      <c r="DD3" s="89"/>
      <c r="DE3" s="87" t="s">
        <v>94</v>
      </c>
      <c r="DF3" s="88"/>
    </row>
    <row r="4" spans="2:110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2.247191011235955E-2</v>
      </c>
      <c r="CM4" s="57">
        <v>1</v>
      </c>
      <c r="CN4" s="58">
        <f>CM4/$BM$13</f>
        <v>4.7619047619047616E-2</v>
      </c>
      <c r="CO4" s="9">
        <v>7</v>
      </c>
      <c r="CP4" s="23">
        <f>CO4/$BO$13</f>
        <v>9.45945945945946E-2</v>
      </c>
      <c r="CR4" s="8" t="s">
        <v>1</v>
      </c>
      <c r="CS4" s="9">
        <v>8</v>
      </c>
      <c r="CT4" s="10">
        <f>CS4/CS13</f>
        <v>9.0909090909090912E-2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  <c r="CZ4" s="8" t="s">
        <v>1</v>
      </c>
      <c r="DA4" s="9">
        <v>0</v>
      </c>
      <c r="DB4" s="10">
        <f>DA4/DA13</f>
        <v>0</v>
      </c>
      <c r="DC4" s="57">
        <v>1</v>
      </c>
      <c r="DD4" s="58">
        <f>DC4/$BM$13</f>
        <v>4.7619047619047616E-2</v>
      </c>
      <c r="DE4" s="9">
        <v>3</v>
      </c>
      <c r="DF4" s="23">
        <f>DE4/$BO$13</f>
        <v>4.0540540540540543E-2</v>
      </c>
    </row>
    <row r="5" spans="2:110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10</v>
      </c>
      <c r="CH5" s="25">
        <f>CG5/$BO$13</f>
        <v>0.13513513513513514</v>
      </c>
      <c r="CJ5" s="3" t="s">
        <v>2</v>
      </c>
      <c r="CK5" s="7">
        <v>34</v>
      </c>
      <c r="CL5" s="11">
        <f>CK5/CK13</f>
        <v>0.38202247191011235</v>
      </c>
      <c r="CM5" s="59">
        <v>1</v>
      </c>
      <c r="CN5" s="60">
        <f>CM5/$BM$13</f>
        <v>4.7619047619047616E-2</v>
      </c>
      <c r="CO5" s="7">
        <v>3</v>
      </c>
      <c r="CP5" s="25">
        <f>CO5/$BO$13</f>
        <v>4.0540540540540543E-2</v>
      </c>
      <c r="CR5" s="3" t="s">
        <v>2</v>
      </c>
      <c r="CS5" s="7">
        <v>29</v>
      </c>
      <c r="CT5" s="11">
        <f>CS5/CS13</f>
        <v>0.32954545454545453</v>
      </c>
      <c r="CU5" s="59">
        <v>6</v>
      </c>
      <c r="CV5" s="60">
        <f>CU5/$BM$13</f>
        <v>0.2857142857142857</v>
      </c>
      <c r="CW5" s="7">
        <v>5</v>
      </c>
      <c r="CX5" s="25">
        <f>CW5/$BO$13</f>
        <v>6.7567567567567571E-2</v>
      </c>
      <c r="CZ5" s="3" t="s">
        <v>2</v>
      </c>
      <c r="DA5" s="7">
        <v>57</v>
      </c>
      <c r="DB5" s="11">
        <f>DA5/DA13</f>
        <v>0.40714285714285714</v>
      </c>
      <c r="DC5" s="59">
        <v>0</v>
      </c>
      <c r="DD5" s="60">
        <f>DC5/$BM$13</f>
        <v>0</v>
      </c>
      <c r="DE5" s="7">
        <v>3</v>
      </c>
      <c r="DF5" s="25">
        <f>DE5/$BO$13</f>
        <v>4.0540540540540543E-2</v>
      </c>
    </row>
    <row r="6" spans="2:110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5.6179775280898875E-2</v>
      </c>
      <c r="CM6" s="59">
        <v>2</v>
      </c>
      <c r="CN6" s="60">
        <f>CM6/$BM$13</f>
        <v>9.5238095238095233E-2</v>
      </c>
      <c r="CO6" s="7">
        <v>3</v>
      </c>
      <c r="CP6" s="25">
        <f>CO6/$BO$13</f>
        <v>4.0540540540540543E-2</v>
      </c>
      <c r="CR6" s="3" t="s">
        <v>21</v>
      </c>
      <c r="CS6" s="7">
        <v>9</v>
      </c>
      <c r="CT6" s="11">
        <f>CS6/CS13</f>
        <v>0.10227272727272728</v>
      </c>
      <c r="CU6" s="59">
        <v>0</v>
      </c>
      <c r="CV6" s="60">
        <f>CU6/$BM$13</f>
        <v>0</v>
      </c>
      <c r="CW6" s="7">
        <v>3</v>
      </c>
      <c r="CX6" s="25">
        <f>CW6/$BO$13</f>
        <v>4.0540540540540543E-2</v>
      </c>
      <c r="CZ6" s="3" t="s">
        <v>21</v>
      </c>
      <c r="DA6" s="7">
        <v>0</v>
      </c>
      <c r="DB6" s="11">
        <f>DA6/DA13</f>
        <v>0</v>
      </c>
      <c r="DC6" s="59">
        <v>1</v>
      </c>
      <c r="DD6" s="60">
        <f>DC6/$BM$13</f>
        <v>4.7619047619047616E-2</v>
      </c>
      <c r="DE6" s="7">
        <v>9</v>
      </c>
      <c r="DF6" s="25">
        <f>DE6/$BO$13</f>
        <v>0.12162162162162163</v>
      </c>
    </row>
    <row r="7" spans="2:110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2.247191011235955E-2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3</v>
      </c>
      <c r="CT7" s="11">
        <f>CS7/CS13</f>
        <v>3.4090909090909088E-2</v>
      </c>
      <c r="CU7" s="59">
        <v>0</v>
      </c>
      <c r="CV7" s="60">
        <f t="shared" ref="CV7:CV11" si="23">CU7/$BM$13</f>
        <v>0</v>
      </c>
      <c r="CW7" s="7">
        <v>2</v>
      </c>
      <c r="CX7" s="25">
        <f t="shared" ref="CX7:CX11" si="24">CW7/$BO$13</f>
        <v>2.7027027027027029E-2</v>
      </c>
      <c r="CZ7" s="3" t="s">
        <v>91</v>
      </c>
      <c r="DA7" s="7">
        <v>0</v>
      </c>
      <c r="DB7" s="11">
        <f>DA7/DA13</f>
        <v>0</v>
      </c>
      <c r="DC7" s="59">
        <v>0</v>
      </c>
      <c r="DD7" s="60">
        <f t="shared" ref="DD7:DD11" si="25">DC7/$BM$13</f>
        <v>0</v>
      </c>
      <c r="DE7" s="7">
        <v>0</v>
      </c>
      <c r="DF7" s="25">
        <f t="shared" ref="DF7:DF11" si="26">DE7/$BO$13</f>
        <v>0</v>
      </c>
    </row>
    <row r="8" spans="2:110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  <c r="CZ8" s="3" t="s">
        <v>92</v>
      </c>
      <c r="DA8" s="7">
        <v>0</v>
      </c>
      <c r="DB8" s="11">
        <f>DA8/DA13</f>
        <v>0</v>
      </c>
      <c r="DC8" s="59">
        <v>0</v>
      </c>
      <c r="DD8" s="60">
        <f t="shared" si="25"/>
        <v>0</v>
      </c>
      <c r="DE8" s="7">
        <v>0</v>
      </c>
      <c r="DF8" s="25">
        <f t="shared" si="26"/>
        <v>0</v>
      </c>
    </row>
    <row r="9" spans="2:110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3</v>
      </c>
      <c r="CH9" s="25">
        <f t="shared" si="20"/>
        <v>4.0540540540540543E-2</v>
      </c>
      <c r="CJ9" s="3" t="s">
        <v>6</v>
      </c>
      <c r="CK9" s="7">
        <v>3</v>
      </c>
      <c r="CL9" s="11">
        <f>CK9/CK13</f>
        <v>3.3707865168539325E-2</v>
      </c>
      <c r="CM9" s="59">
        <v>2</v>
      </c>
      <c r="CN9" s="60">
        <f t="shared" si="21"/>
        <v>9.5238095238095233E-2</v>
      </c>
      <c r="CO9" s="7">
        <v>2</v>
      </c>
      <c r="CP9" s="25">
        <f t="shared" si="22"/>
        <v>2.7027027027027029E-2</v>
      </c>
      <c r="CR9" s="3" t="s">
        <v>6</v>
      </c>
      <c r="CS9" s="7">
        <v>2</v>
      </c>
      <c r="CT9" s="11">
        <f>CS9/CS13</f>
        <v>2.2727272727272728E-2</v>
      </c>
      <c r="CU9" s="59">
        <v>0</v>
      </c>
      <c r="CV9" s="60">
        <f t="shared" si="23"/>
        <v>0</v>
      </c>
      <c r="CW9" s="7">
        <v>1</v>
      </c>
      <c r="CX9" s="25">
        <f t="shared" si="24"/>
        <v>1.3513513513513514E-2</v>
      </c>
      <c r="CZ9" s="3" t="s">
        <v>6</v>
      </c>
      <c r="DA9" s="7">
        <v>30</v>
      </c>
      <c r="DB9" s="11">
        <f>DA9/DA13</f>
        <v>0.21428571428571427</v>
      </c>
      <c r="DC9" s="59">
        <v>1</v>
      </c>
      <c r="DD9" s="60">
        <f t="shared" si="25"/>
        <v>4.7619047619047616E-2</v>
      </c>
      <c r="DE9" s="7">
        <v>6</v>
      </c>
      <c r="DF9" s="25">
        <f t="shared" si="26"/>
        <v>8.1081081081081086E-2</v>
      </c>
    </row>
    <row r="10" spans="2:110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8</v>
      </c>
      <c r="CT10" s="11">
        <f>CS10/CS13</f>
        <v>9.0909090909090912E-2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  <c r="CZ10" s="3" t="s">
        <v>7</v>
      </c>
      <c r="DA10" s="7">
        <v>0</v>
      </c>
      <c r="DB10" s="11">
        <f>DA10/DA13</f>
        <v>0</v>
      </c>
      <c r="DC10" s="59">
        <v>0</v>
      </c>
      <c r="DD10" s="60">
        <f t="shared" si="25"/>
        <v>0</v>
      </c>
      <c r="DE10" s="7">
        <v>3</v>
      </c>
      <c r="DF10" s="25">
        <f t="shared" si="26"/>
        <v>4.0540540540540543E-2</v>
      </c>
    </row>
    <row r="11" spans="2:110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41</v>
      </c>
      <c r="CL11" s="11">
        <f>CK11/CK13</f>
        <v>0.4606741573033708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27</v>
      </c>
      <c r="CT11" s="11">
        <f>CS11/CS13</f>
        <v>0.30681818181818182</v>
      </c>
      <c r="CU11" s="59">
        <v>0</v>
      </c>
      <c r="CV11" s="60">
        <f t="shared" si="23"/>
        <v>0</v>
      </c>
      <c r="CW11" s="7">
        <v>2</v>
      </c>
      <c r="CX11" s="25">
        <f t="shared" si="24"/>
        <v>2.7027027027027029E-2</v>
      </c>
      <c r="CZ11" s="3" t="s">
        <v>8</v>
      </c>
      <c r="DA11" s="7">
        <v>53</v>
      </c>
      <c r="DB11" s="11">
        <f>DA11/DA13</f>
        <v>0.37857142857142856</v>
      </c>
      <c r="DC11" s="59">
        <v>0</v>
      </c>
      <c r="DD11" s="60">
        <f t="shared" si="25"/>
        <v>0</v>
      </c>
      <c r="DE11" s="7">
        <v>13</v>
      </c>
      <c r="DF11" s="25">
        <f t="shared" si="26"/>
        <v>0.17567567567567569</v>
      </c>
    </row>
    <row r="12" spans="2:110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2.247191011235955E-2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2</v>
      </c>
      <c r="CT12" s="12">
        <f>CS12/CS13</f>
        <v>2.2727272727272728E-2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  <c r="CZ12" s="4" t="s">
        <v>9</v>
      </c>
      <c r="DA12" s="6">
        <v>0</v>
      </c>
      <c r="DB12" s="12">
        <f>DA12/DA13</f>
        <v>0</v>
      </c>
      <c r="DC12" s="61">
        <v>0</v>
      </c>
      <c r="DD12" s="62">
        <f>DC12/$BM$13</f>
        <v>0</v>
      </c>
      <c r="DE12" s="6">
        <v>1</v>
      </c>
      <c r="DF12" s="14">
        <f>DE12/$BO$13</f>
        <v>1.3513513513513514E-2</v>
      </c>
    </row>
    <row r="13" spans="2:110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2">
        <f>SUM(BK4:BK12)</f>
        <v>224</v>
      </c>
      <c r="BL13" s="93"/>
      <c r="BM13" s="92">
        <f>SUM(BM4:BM12)</f>
        <v>21</v>
      </c>
      <c r="BN13" s="93"/>
      <c r="BO13" s="92">
        <f>SUM(BO4:BO12)</f>
        <v>74</v>
      </c>
      <c r="BP13" s="94"/>
      <c r="CB13" s="5" t="s">
        <v>25</v>
      </c>
      <c r="CC13" s="92">
        <f>SUM(CC4:CC12)</f>
        <v>194</v>
      </c>
      <c r="CD13" s="93"/>
      <c r="CE13" s="92">
        <f>SUM(CE4:CE12)</f>
        <v>8</v>
      </c>
      <c r="CF13" s="93"/>
      <c r="CG13" s="92">
        <f>SUM(CG4:CG12)</f>
        <v>28</v>
      </c>
      <c r="CH13" s="94"/>
      <c r="CJ13" s="5" t="s">
        <v>25</v>
      </c>
      <c r="CK13" s="92">
        <f>SUM(CK4:CK12)</f>
        <v>89</v>
      </c>
      <c r="CL13" s="93"/>
      <c r="CM13" s="92">
        <f>SUM(CM4:CM12)</f>
        <v>7</v>
      </c>
      <c r="CN13" s="93"/>
      <c r="CO13" s="92">
        <f>SUM(CO4:CO12)</f>
        <v>18</v>
      </c>
      <c r="CP13" s="94"/>
      <c r="CR13" s="5" t="s">
        <v>25</v>
      </c>
      <c r="CS13" s="92">
        <f>SUM(CS4:CS12)</f>
        <v>88</v>
      </c>
      <c r="CT13" s="93"/>
      <c r="CU13" s="92">
        <f>SUM(CU4:CU12)</f>
        <v>6</v>
      </c>
      <c r="CV13" s="93"/>
      <c r="CW13" s="92">
        <f>SUM(CW4:CW12)</f>
        <v>13</v>
      </c>
      <c r="CX13" s="94"/>
      <c r="CZ13" s="5" t="s">
        <v>25</v>
      </c>
      <c r="DA13" s="92">
        <f>SUM(DA4:DA12)</f>
        <v>140</v>
      </c>
      <c r="DB13" s="93"/>
      <c r="DC13" s="92">
        <f>SUM(DC4:DC12)</f>
        <v>3</v>
      </c>
      <c r="DD13" s="93"/>
      <c r="DE13" s="92">
        <f>SUM(DE4:DE12)</f>
        <v>38</v>
      </c>
      <c r="DF13" s="94"/>
    </row>
    <row r="14" spans="2:110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95">
        <f>BK13/($BK$13+$BM$13+$BO$13)</f>
        <v>0.70219435736677116</v>
      </c>
      <c r="BL14" s="96"/>
      <c r="BM14" s="95">
        <f>BM13/(BK13+$BM$13+$BO$13)</f>
        <v>6.5830721003134793E-2</v>
      </c>
      <c r="BN14" s="96"/>
      <c r="BO14" s="95">
        <f>BO13/($BK$13+$BM$13+$BO$13)</f>
        <v>0.23197492163009403</v>
      </c>
      <c r="BP14" s="96"/>
      <c r="CB14" s="19" t="s">
        <v>26</v>
      </c>
      <c r="CC14" s="95">
        <f>CC13/($CC$13+$CE$13+$CG$13)</f>
        <v>0.84347826086956523</v>
      </c>
      <c r="CD14" s="96"/>
      <c r="CE14" s="95">
        <f>CE13/(CC13+$CE$13+$CG$13)</f>
        <v>3.4782608695652174E-2</v>
      </c>
      <c r="CF14" s="96"/>
      <c r="CG14" s="95">
        <f>CG13/($CC$13+$CE$13+$CG$13)</f>
        <v>0.12173913043478261</v>
      </c>
      <c r="CH14" s="96"/>
      <c r="CJ14" s="19" t="s">
        <v>26</v>
      </c>
      <c r="CK14" s="95">
        <f>CK13/($CK$13+$CM$13+$CO$13)</f>
        <v>0.7807017543859649</v>
      </c>
      <c r="CL14" s="96"/>
      <c r="CM14" s="95">
        <f>CM13/(CK13+$CM$13+$CO$13)</f>
        <v>6.1403508771929821E-2</v>
      </c>
      <c r="CN14" s="96"/>
      <c r="CO14" s="95">
        <f>CO13/($CK$13+$CM$13+$CO$13)</f>
        <v>0.15789473684210525</v>
      </c>
      <c r="CP14" s="96"/>
      <c r="CR14" s="19" t="s">
        <v>26</v>
      </c>
      <c r="CS14" s="95">
        <f>CS13/($CS$13+$CU$13+$CW$13)</f>
        <v>0.82242990654205606</v>
      </c>
      <c r="CT14" s="96"/>
      <c r="CU14" s="95">
        <f>CU13/($CS$13+$CU$13+$CW$13)</f>
        <v>5.6074766355140186E-2</v>
      </c>
      <c r="CV14" s="96"/>
      <c r="CW14" s="95">
        <f>CW13/($CS$13+$CU$13+$CW$13)</f>
        <v>0.12149532710280374</v>
      </c>
      <c r="CX14" s="96"/>
      <c r="CZ14" s="19" t="s">
        <v>26</v>
      </c>
      <c r="DA14" s="95">
        <f>DA13/($DA$13+$DC$13+$DE$13)</f>
        <v>0.77348066298342544</v>
      </c>
      <c r="DB14" s="96"/>
      <c r="DC14" s="95">
        <f>DC13/($DA$13+$DC$13+$DE$13)</f>
        <v>1.6574585635359115E-2</v>
      </c>
      <c r="DD14" s="96"/>
      <c r="DE14" s="95">
        <f>DE13/($DA$13+$DC$13+$DE$13)</f>
        <v>0.20994475138121546</v>
      </c>
      <c r="DF14" s="96"/>
    </row>
    <row r="15" spans="2:110" ht="15.75" thickBot="1" x14ac:dyDescent="0.3">
      <c r="B15" s="5" t="s">
        <v>25</v>
      </c>
      <c r="C15" s="92">
        <f>SUM(C4:C14)</f>
        <v>1079</v>
      </c>
      <c r="D15" s="93"/>
      <c r="E15" s="92">
        <f>SUM(E4:E14)</f>
        <v>32</v>
      </c>
      <c r="F15" s="93"/>
      <c r="G15" s="92">
        <f>SUM(G4:G14)</f>
        <v>24</v>
      </c>
      <c r="H15" s="94"/>
      <c r="J15" s="5" t="s">
        <v>25</v>
      </c>
      <c r="K15" s="92">
        <f>SUM(K4:K14)</f>
        <v>58</v>
      </c>
      <c r="L15" s="93"/>
      <c r="M15" s="92">
        <f>SUM(M4:M14)</f>
        <v>8</v>
      </c>
      <c r="N15" s="93"/>
      <c r="O15" s="92">
        <f>SUM(O4:O14)</f>
        <v>35</v>
      </c>
      <c r="P15" s="94"/>
      <c r="Q15" s="29"/>
      <c r="R15" s="5" t="s">
        <v>25</v>
      </c>
      <c r="S15" s="92">
        <f>SUM(S4:S14)</f>
        <v>1137</v>
      </c>
      <c r="T15" s="97"/>
      <c r="U15" s="92">
        <f>SUM(U4:U14)</f>
        <v>40</v>
      </c>
      <c r="V15" s="97"/>
      <c r="W15" s="98">
        <f>SUM(W4:W14)</f>
        <v>59</v>
      </c>
      <c r="X15" s="99"/>
      <c r="Y15" s="29"/>
      <c r="AA15" s="5" t="s">
        <v>25</v>
      </c>
      <c r="AB15" s="92">
        <f>SUM(AB4:AB14)</f>
        <v>329</v>
      </c>
      <c r="AC15" s="93"/>
      <c r="AD15" s="92">
        <f>SUM(AD4:AD14)</f>
        <v>29</v>
      </c>
      <c r="AE15" s="93"/>
      <c r="AF15" s="92">
        <f>SUM(AF4:AF14)</f>
        <v>27</v>
      </c>
      <c r="AG15" s="94"/>
      <c r="AI15" s="5" t="s">
        <v>25</v>
      </c>
      <c r="AJ15" s="92">
        <f>SUM(AJ4:AJ14)</f>
        <v>203</v>
      </c>
      <c r="AK15" s="93"/>
      <c r="AL15" s="92">
        <f>SUM(AL4:AL14)</f>
        <v>36</v>
      </c>
      <c r="AM15" s="93"/>
      <c r="AN15" s="92">
        <f>SUM(AN4:AN14)</f>
        <v>74</v>
      </c>
      <c r="AO15" s="94"/>
      <c r="AQ15" s="5" t="s">
        <v>25</v>
      </c>
      <c r="AR15" s="92">
        <f>SUM(AR4:AR14)</f>
        <v>152</v>
      </c>
      <c r="AS15" s="93"/>
      <c r="AT15" s="92">
        <f>SUM(AT4:AT14)</f>
        <v>58</v>
      </c>
      <c r="AU15" s="93"/>
      <c r="AV15" s="92">
        <f>SUM(AV4:AV14)</f>
        <v>79</v>
      </c>
      <c r="AW15" s="94"/>
      <c r="AY15" s="5" t="s">
        <v>25</v>
      </c>
      <c r="AZ15" s="92">
        <f>SUM(AZ4:AZ14)</f>
        <v>245</v>
      </c>
      <c r="BA15" s="93"/>
      <c r="BB15" s="92">
        <f>SUM(BB4:BB14)</f>
        <v>51</v>
      </c>
      <c r="BC15" s="93"/>
      <c r="BD15" s="92">
        <f>SUM(BD4:BD14)</f>
        <v>90</v>
      </c>
      <c r="BE15" s="94"/>
      <c r="BJ15" s="20" t="s">
        <v>23</v>
      </c>
      <c r="BK15" s="100">
        <v>0.8</v>
      </c>
      <c r="BL15" s="96"/>
      <c r="BM15" s="100">
        <v>0.05</v>
      </c>
      <c r="BN15" s="96"/>
      <c r="BO15" s="100">
        <v>0.15</v>
      </c>
      <c r="BP15" s="96"/>
      <c r="CB15" s="20" t="s">
        <v>23</v>
      </c>
      <c r="CC15" s="100">
        <v>0.8</v>
      </c>
      <c r="CD15" s="96"/>
      <c r="CE15" s="100">
        <v>0.05</v>
      </c>
      <c r="CF15" s="96"/>
      <c r="CG15" s="100">
        <v>0.15</v>
      </c>
      <c r="CH15" s="96"/>
      <c r="CJ15" s="20" t="s">
        <v>23</v>
      </c>
      <c r="CK15" s="100">
        <v>0.8</v>
      </c>
      <c r="CL15" s="96"/>
      <c r="CM15" s="100">
        <v>0.05</v>
      </c>
      <c r="CN15" s="96"/>
      <c r="CO15" s="100">
        <v>0.15</v>
      </c>
      <c r="CP15" s="96"/>
      <c r="CR15" s="20" t="s">
        <v>23</v>
      </c>
      <c r="CS15" s="100">
        <v>0.8</v>
      </c>
      <c r="CT15" s="96"/>
      <c r="CU15" s="100">
        <v>0.05</v>
      </c>
      <c r="CV15" s="96"/>
      <c r="CW15" s="100">
        <v>0.15</v>
      </c>
      <c r="CX15" s="96"/>
      <c r="CZ15" s="20" t="s">
        <v>23</v>
      </c>
      <c r="DA15" s="100">
        <v>0.8</v>
      </c>
      <c r="DB15" s="96"/>
      <c r="DC15" s="100">
        <v>0.05</v>
      </c>
      <c r="DD15" s="96"/>
      <c r="DE15" s="100">
        <v>0.15</v>
      </c>
      <c r="DF15" s="96"/>
    </row>
    <row r="16" spans="2:110" ht="15.75" thickBot="1" x14ac:dyDescent="0.3">
      <c r="B16" s="19" t="s">
        <v>26</v>
      </c>
      <c r="C16" s="95">
        <f>C15/($C$15+$E$15+$G$15)</f>
        <v>0.95066079295154182</v>
      </c>
      <c r="D16" s="101"/>
      <c r="E16" s="95">
        <f>E15/($C$15+$E$15+$G$15)</f>
        <v>2.8193832599118944E-2</v>
      </c>
      <c r="F16" s="101"/>
      <c r="G16" s="95">
        <f>G15/($C$15+$E$15+$G$15)</f>
        <v>2.1145374449339206E-2</v>
      </c>
      <c r="H16" s="96"/>
      <c r="I16" s="52"/>
      <c r="J16" s="19" t="s">
        <v>26</v>
      </c>
      <c r="K16" s="95">
        <f>K15/($K$15+$M$15+$O$15)</f>
        <v>0.57425742574257421</v>
      </c>
      <c r="L16" s="101"/>
      <c r="M16" s="95">
        <f>M15/($K$15+$M$15+$O$15)</f>
        <v>7.9207920792079209E-2</v>
      </c>
      <c r="N16" s="96"/>
      <c r="O16" s="95">
        <f>O15/($K$15+$M$15+$O$15)</f>
        <v>0.34653465346534651</v>
      </c>
      <c r="P16" s="96"/>
      <c r="Q16" s="53"/>
      <c r="R16" s="19" t="s">
        <v>26</v>
      </c>
      <c r="S16" s="95">
        <f>S15/($S$15+$U$15+$W$15)</f>
        <v>0.91990291262135926</v>
      </c>
      <c r="T16" s="96"/>
      <c r="U16" s="95">
        <f>U15/($S$15+$U$15+$W$15)</f>
        <v>3.2362459546925564E-2</v>
      </c>
      <c r="V16" s="96"/>
      <c r="W16" s="95">
        <f>W15/($S$15+$U$15+$W$15)</f>
        <v>4.7734627831715212E-2</v>
      </c>
      <c r="X16" s="96"/>
      <c r="Y16" s="53"/>
      <c r="Z16" s="52"/>
      <c r="AA16" s="19" t="s">
        <v>26</v>
      </c>
      <c r="AB16" s="95">
        <f>AB15/($AB$15+$AD$15+$AF$15)</f>
        <v>0.8545454545454545</v>
      </c>
      <c r="AC16" s="96"/>
      <c r="AD16" s="95">
        <f>AD15/($AB$15+$AD$15+$AF$15)</f>
        <v>7.5324675324675322E-2</v>
      </c>
      <c r="AE16" s="96"/>
      <c r="AF16" s="95">
        <f>AF15/($AB$15+$AD$15+$AF$15)</f>
        <v>7.0129870129870125E-2</v>
      </c>
      <c r="AG16" s="96"/>
      <c r="AI16" s="19" t="s">
        <v>26</v>
      </c>
      <c r="AJ16" s="95">
        <f>AJ15/($AJ$15+$AL$15+$AN$15)</f>
        <v>0.6485623003194888</v>
      </c>
      <c r="AK16" s="96"/>
      <c r="AL16" s="95">
        <f>AL15/($AJ$15+$AL$15+$AN$15)</f>
        <v>0.11501597444089456</v>
      </c>
      <c r="AM16" s="96"/>
      <c r="AN16" s="95">
        <f>AN15/($AJ$15+$AL$15+$AN$15)</f>
        <v>0.2364217252396166</v>
      </c>
      <c r="AO16" s="96"/>
      <c r="AQ16" s="19" t="s">
        <v>26</v>
      </c>
      <c r="AR16" s="95">
        <f>AR15/($AR$15+$AT$15+$AV$15)</f>
        <v>0.52595155709342556</v>
      </c>
      <c r="AS16" s="96"/>
      <c r="AT16" s="95">
        <f t="shared" ref="AT16" si="27">AT15/($AR$15+$AT$15+$AV$15)</f>
        <v>0.20069204152249134</v>
      </c>
      <c r="AU16" s="96"/>
      <c r="AV16" s="95">
        <f t="shared" ref="AV16" si="28">AV15/($AR$15+$AT$15+$AV$15)</f>
        <v>0.27335640138408307</v>
      </c>
      <c r="AW16" s="96"/>
      <c r="AY16" s="19" t="s">
        <v>26</v>
      </c>
      <c r="AZ16" s="95">
        <f>AZ15/($AZ$15+$BB$15+$BD$15)</f>
        <v>0.63471502590673579</v>
      </c>
      <c r="BA16" s="96"/>
      <c r="BB16" s="95">
        <f>BB15/($AZ$15+$BB$15+$BD$15)</f>
        <v>0.13212435233160622</v>
      </c>
      <c r="BC16" s="96"/>
      <c r="BD16" s="95">
        <f>BD15/($AZ$15+$BB$15+$BD$15)</f>
        <v>0.23316062176165803</v>
      </c>
      <c r="BE16" s="96"/>
      <c r="BJ16" s="21" t="s">
        <v>24</v>
      </c>
      <c r="BK16" s="102">
        <f>BK14-BK15</f>
        <v>-9.7805642633228884E-2</v>
      </c>
      <c r="BL16" s="103"/>
      <c r="BM16" s="102">
        <f>BM15-BM14</f>
        <v>-1.583072100313479E-2</v>
      </c>
      <c r="BN16" s="103"/>
      <c r="BO16" s="102">
        <f>BO15-BO14</f>
        <v>-8.1974921630094039E-2</v>
      </c>
      <c r="BP16" s="103"/>
      <c r="CB16" s="21" t="s">
        <v>24</v>
      </c>
      <c r="CC16" s="102">
        <f>CC14-CC15</f>
        <v>4.3478260869565188E-2</v>
      </c>
      <c r="CD16" s="103"/>
      <c r="CE16" s="102">
        <f>CE15-CE14</f>
        <v>1.5217391304347828E-2</v>
      </c>
      <c r="CF16" s="103"/>
      <c r="CG16" s="102">
        <f>CG15-CG14</f>
        <v>2.8260869565217381E-2</v>
      </c>
      <c r="CH16" s="103"/>
      <c r="CJ16" s="21" t="s">
        <v>24</v>
      </c>
      <c r="CK16" s="102">
        <f>CK14-CK15</f>
        <v>-1.9298245614035148E-2</v>
      </c>
      <c r="CL16" s="103"/>
      <c r="CM16" s="102">
        <f>CM15-CM14</f>
        <v>-1.1403508771929818E-2</v>
      </c>
      <c r="CN16" s="103"/>
      <c r="CO16" s="102">
        <f>CO15-CO14</f>
        <v>-7.8947368421052599E-3</v>
      </c>
      <c r="CP16" s="103"/>
      <c r="CR16" s="21" t="s">
        <v>24</v>
      </c>
      <c r="CS16" s="102">
        <f>CS14-CS15</f>
        <v>2.2429906542056011E-2</v>
      </c>
      <c r="CT16" s="103"/>
      <c r="CU16" s="102">
        <f>CU15-CU14</f>
        <v>-6.0747663551401834E-3</v>
      </c>
      <c r="CV16" s="103"/>
      <c r="CW16" s="102">
        <f>CW15-CW14</f>
        <v>2.8504672897196257E-2</v>
      </c>
      <c r="CX16" s="103"/>
      <c r="CZ16" s="21" t="s">
        <v>24</v>
      </c>
      <c r="DA16" s="102">
        <f>DA14-DA15</f>
        <v>-2.6519337016574607E-2</v>
      </c>
      <c r="DB16" s="103"/>
      <c r="DC16" s="102">
        <f>DC15-DC14</f>
        <v>3.3425414364640887E-2</v>
      </c>
      <c r="DD16" s="103"/>
      <c r="DE16" s="102">
        <f>DE15-DE14</f>
        <v>-5.9944751381215466E-2</v>
      </c>
      <c r="DF16" s="103"/>
    </row>
    <row r="17" spans="2:110" ht="15.75" thickBot="1" x14ac:dyDescent="0.3">
      <c r="B17" s="20" t="s">
        <v>23</v>
      </c>
      <c r="C17" s="100">
        <v>0.85</v>
      </c>
      <c r="D17" s="104"/>
      <c r="E17" s="100">
        <v>0.1</v>
      </c>
      <c r="F17" s="104"/>
      <c r="G17" s="100">
        <v>0.05</v>
      </c>
      <c r="H17" s="96"/>
      <c r="I17" s="52"/>
      <c r="J17" s="20" t="s">
        <v>23</v>
      </c>
      <c r="K17" s="100">
        <v>0.85</v>
      </c>
      <c r="L17" s="104"/>
      <c r="M17" s="100">
        <v>0.1</v>
      </c>
      <c r="N17" s="96"/>
      <c r="O17" s="100">
        <v>0.05</v>
      </c>
      <c r="P17" s="96"/>
      <c r="Q17" s="53"/>
      <c r="R17" s="20" t="s">
        <v>23</v>
      </c>
      <c r="S17" s="100">
        <v>0.85</v>
      </c>
      <c r="T17" s="96"/>
      <c r="U17" s="100">
        <v>0.1</v>
      </c>
      <c r="V17" s="96"/>
      <c r="W17" s="100">
        <v>0.05</v>
      </c>
      <c r="X17" s="96"/>
      <c r="Y17" s="53"/>
      <c r="Z17" s="52"/>
      <c r="AA17" s="20" t="s">
        <v>23</v>
      </c>
      <c r="AB17" s="100">
        <v>0.85</v>
      </c>
      <c r="AC17" s="96"/>
      <c r="AD17" s="100">
        <v>0.1</v>
      </c>
      <c r="AE17" s="96"/>
      <c r="AF17" s="100">
        <v>0.05</v>
      </c>
      <c r="AG17" s="96"/>
      <c r="AI17" s="20" t="s">
        <v>23</v>
      </c>
      <c r="AJ17" s="100">
        <v>0.85</v>
      </c>
      <c r="AK17" s="96"/>
      <c r="AL17" s="100">
        <v>0.1</v>
      </c>
      <c r="AM17" s="96"/>
      <c r="AN17" s="100">
        <v>0.05</v>
      </c>
      <c r="AO17" s="96"/>
      <c r="AQ17" s="20" t="s">
        <v>23</v>
      </c>
      <c r="AR17" s="100">
        <v>0.85</v>
      </c>
      <c r="AS17" s="96"/>
      <c r="AT17" s="100">
        <v>0.1</v>
      </c>
      <c r="AU17" s="96"/>
      <c r="AV17" s="100">
        <v>0.05</v>
      </c>
      <c r="AW17" s="96"/>
      <c r="AY17" s="20" t="s">
        <v>23</v>
      </c>
      <c r="AZ17" s="100">
        <v>0.8</v>
      </c>
      <c r="BA17" s="96"/>
      <c r="BB17" s="100">
        <v>0.05</v>
      </c>
      <c r="BC17" s="96"/>
      <c r="BD17" s="100">
        <v>0.15</v>
      </c>
      <c r="BE17" s="96"/>
    </row>
    <row r="18" spans="2:110" ht="15.75" thickBot="1" x14ac:dyDescent="0.3">
      <c r="B18" s="21" t="s">
        <v>24</v>
      </c>
      <c r="C18" s="102">
        <f>C16-C17</f>
        <v>0.10066079295154184</v>
      </c>
      <c r="D18" s="103"/>
      <c r="E18" s="102">
        <f>E17-E16</f>
        <v>7.1806167400881055E-2</v>
      </c>
      <c r="F18" s="103"/>
      <c r="G18" s="102">
        <f>G17-G16</f>
        <v>2.8854625550660797E-2</v>
      </c>
      <c r="H18" s="103"/>
      <c r="I18" s="52"/>
      <c r="J18" s="21" t="s">
        <v>24</v>
      </c>
      <c r="K18" s="102">
        <f>K16-K17</f>
        <v>-0.27574257425742577</v>
      </c>
      <c r="L18" s="103"/>
      <c r="M18" s="102">
        <f>M17-M16</f>
        <v>2.0792079207920797E-2</v>
      </c>
      <c r="N18" s="103"/>
      <c r="O18" s="102">
        <f>O17-O16</f>
        <v>-0.29653465346534652</v>
      </c>
      <c r="P18" s="103"/>
      <c r="Q18" s="53"/>
      <c r="R18" s="21" t="s">
        <v>24</v>
      </c>
      <c r="S18" s="102">
        <f>S16-S17</f>
        <v>6.9902912621359281E-2</v>
      </c>
      <c r="T18" s="103"/>
      <c r="U18" s="102">
        <f>U17-U16</f>
        <v>6.7637540453074435E-2</v>
      </c>
      <c r="V18" s="103"/>
      <c r="W18" s="102">
        <f>W17-W16</f>
        <v>2.2653721682847905E-3</v>
      </c>
      <c r="X18" s="103"/>
      <c r="Y18" s="53"/>
      <c r="Z18" s="52"/>
      <c r="AA18" s="21" t="s">
        <v>24</v>
      </c>
      <c r="AB18" s="102">
        <f>AB16-AB17</f>
        <v>4.5454545454545192E-3</v>
      </c>
      <c r="AC18" s="103"/>
      <c r="AD18" s="102">
        <f>AD17-AD16</f>
        <v>2.4675324675324684E-2</v>
      </c>
      <c r="AE18" s="103"/>
      <c r="AF18" s="102">
        <f>AF17-AF16</f>
        <v>-2.0129870129870123E-2</v>
      </c>
      <c r="AG18" s="103"/>
      <c r="AI18" s="21" t="s">
        <v>24</v>
      </c>
      <c r="AJ18" s="102">
        <f>AJ16-AJ17</f>
        <v>-0.20143769968051117</v>
      </c>
      <c r="AK18" s="103"/>
      <c r="AL18" s="102">
        <f>AL17-AL16</f>
        <v>-1.5015974440894558E-2</v>
      </c>
      <c r="AM18" s="103"/>
      <c r="AN18" s="102">
        <f>AN17-AN16</f>
        <v>-0.18642172523961659</v>
      </c>
      <c r="AO18" s="103"/>
      <c r="AQ18" s="21" t="s">
        <v>24</v>
      </c>
      <c r="AR18" s="102">
        <f>AR16-AR17</f>
        <v>-0.32404844290657442</v>
      </c>
      <c r="AS18" s="103"/>
      <c r="AT18" s="102">
        <f>AT17-AT16</f>
        <v>-0.10069204152249134</v>
      </c>
      <c r="AU18" s="103"/>
      <c r="AV18" s="102">
        <f>AV17-AV16</f>
        <v>-0.22335640138408308</v>
      </c>
      <c r="AW18" s="103"/>
      <c r="AY18" s="21" t="s">
        <v>24</v>
      </c>
      <c r="AZ18" s="102">
        <f>AZ16-AZ17</f>
        <v>-0.16528497409326426</v>
      </c>
      <c r="BA18" s="103"/>
      <c r="BB18" s="102">
        <f>BB17-BB16</f>
        <v>-8.2124352331606212E-2</v>
      </c>
      <c r="BC18" s="103"/>
      <c r="BD18" s="102">
        <f>BD17-BD16</f>
        <v>-8.3160621761658032E-2</v>
      </c>
      <c r="BE18" s="103"/>
      <c r="BK18" t="s">
        <v>0</v>
      </c>
      <c r="BM18" t="s">
        <v>49</v>
      </c>
      <c r="BO18" s="105" t="s">
        <v>61</v>
      </c>
      <c r="BP18" s="106"/>
      <c r="BU18" t="s">
        <v>0</v>
      </c>
      <c r="BW18" t="s">
        <v>49</v>
      </c>
      <c r="BY18" s="105" t="s">
        <v>61</v>
      </c>
      <c r="BZ18" s="106"/>
      <c r="CC18" t="s">
        <v>0</v>
      </c>
      <c r="CE18" t="s">
        <v>49</v>
      </c>
      <c r="CG18" s="105" t="s">
        <v>61</v>
      </c>
      <c r="CH18" s="106"/>
      <c r="CK18" t="s">
        <v>0</v>
      </c>
      <c r="CM18" t="s">
        <v>49</v>
      </c>
      <c r="CO18" s="105" t="s">
        <v>61</v>
      </c>
      <c r="CP18" s="106"/>
      <c r="CS18" t="s">
        <v>0</v>
      </c>
      <c r="CU18" t="s">
        <v>49</v>
      </c>
      <c r="CW18" s="105" t="s">
        <v>61</v>
      </c>
      <c r="CX18" s="106"/>
      <c r="DA18" t="s">
        <v>0</v>
      </c>
      <c r="DC18" t="s">
        <v>49</v>
      </c>
      <c r="DE18" s="105" t="s">
        <v>61</v>
      </c>
      <c r="DF18" s="106"/>
    </row>
    <row r="19" spans="2:110" ht="15" x14ac:dyDescent="0.25">
      <c r="AZ19" t="s">
        <v>0</v>
      </c>
      <c r="BB19" t="s">
        <v>49</v>
      </c>
      <c r="BD19" s="105" t="s">
        <v>61</v>
      </c>
      <c r="BE19" s="106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0.84347826086956523</v>
      </c>
      <c r="CE19" s="22">
        <f>CE14</f>
        <v>3.4782608695652174E-2</v>
      </c>
      <c r="CG19" s="22">
        <f>CG14</f>
        <v>0.12173913043478261</v>
      </c>
      <c r="CJ19" s="76" t="str">
        <f>CJ2</f>
        <v>7.4.x</v>
      </c>
      <c r="CK19" s="22">
        <f>CK14</f>
        <v>0.7807017543859649</v>
      </c>
      <c r="CM19" s="22">
        <f>CM14</f>
        <v>6.1403508771929821E-2</v>
      </c>
      <c r="CO19" s="22">
        <f>CO14</f>
        <v>0.15789473684210525</v>
      </c>
      <c r="CR19" s="76" t="str">
        <f>CR2</f>
        <v>7.5.x</v>
      </c>
      <c r="CS19" s="22">
        <f>CS14</f>
        <v>0.82242990654205606</v>
      </c>
      <c r="CU19" s="22">
        <f>CU14</f>
        <v>5.6074766355140186E-2</v>
      </c>
      <c r="CW19" s="22">
        <f>CW14</f>
        <v>0.12149532710280374</v>
      </c>
      <c r="CZ19" s="76" t="str">
        <f>CZ2</f>
        <v>7.6.x</v>
      </c>
      <c r="DA19" s="22">
        <f>DA14</f>
        <v>0.77348066298342544</v>
      </c>
      <c r="DC19" s="22">
        <f>DC14</f>
        <v>1.6574585635359115E-2</v>
      </c>
      <c r="DE19" s="22">
        <f>DE14</f>
        <v>0.20994475138121546</v>
      </c>
    </row>
    <row r="20" spans="2:110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10" ht="15" x14ac:dyDescent="0.25">
      <c r="BT21" s="76" t="str">
        <f>CB19</f>
        <v>7.3.x</v>
      </c>
      <c r="BU21" s="28">
        <f t="shared" ref="BU21:BY21" si="29">CC19</f>
        <v>0.84347826086956523</v>
      </c>
      <c r="BV21" s="28"/>
      <c r="BW21" s="28">
        <f t="shared" si="29"/>
        <v>3.4782608695652174E-2</v>
      </c>
      <c r="BX21" s="28"/>
      <c r="BY21" s="28">
        <f t="shared" si="29"/>
        <v>0.12173913043478261</v>
      </c>
      <c r="BZ21" s="76"/>
    </row>
    <row r="22" spans="2:110" ht="15" x14ac:dyDescent="0.25">
      <c r="C22" t="s">
        <v>0</v>
      </c>
      <c r="E22" t="s">
        <v>49</v>
      </c>
      <c r="G22" s="107" t="s">
        <v>61</v>
      </c>
      <c r="H22" s="108"/>
      <c r="BT22" s="76" t="str">
        <f>CJ19</f>
        <v>7.4.x</v>
      </c>
      <c r="BU22" s="28">
        <f t="shared" ref="BU22:BY22" si="30">CK19</f>
        <v>0.7807017543859649</v>
      </c>
      <c r="BV22" s="28"/>
      <c r="BW22" s="28">
        <f t="shared" si="30"/>
        <v>6.1403508771929821E-2</v>
      </c>
      <c r="BX22" s="28"/>
      <c r="BY22" s="28">
        <f t="shared" si="30"/>
        <v>0.15789473684210525</v>
      </c>
    </row>
    <row r="23" spans="2:110" ht="15" x14ac:dyDescent="0.25">
      <c r="G23" s="83"/>
      <c r="H23" s="84"/>
      <c r="BT23" s="76" t="str">
        <f>CR19</f>
        <v>7.5.x</v>
      </c>
      <c r="BU23" s="28">
        <f>CS19</f>
        <v>0.82242990654205606</v>
      </c>
      <c r="BV23" s="28"/>
      <c r="BW23" s="28">
        <f>CU19</f>
        <v>5.6074766355140186E-2</v>
      </c>
      <c r="BX23" s="28"/>
      <c r="BY23" s="28">
        <f>CW19</f>
        <v>0.12149532710280374</v>
      </c>
    </row>
    <row r="24" spans="2:110" ht="15" x14ac:dyDescent="0.25">
      <c r="G24" s="83"/>
      <c r="H24" s="84"/>
      <c r="BT24" s="76" t="str">
        <f>CZ19</f>
        <v>7.6.x</v>
      </c>
      <c r="BU24" s="28">
        <f>DA19</f>
        <v>0.77348066298342544</v>
      </c>
      <c r="BV24" s="28"/>
      <c r="BW24" s="28">
        <f>DC19</f>
        <v>1.6574585635359115E-2</v>
      </c>
      <c r="BX24" s="28"/>
      <c r="BY24" s="28">
        <f>DE19</f>
        <v>0.20994475138121546</v>
      </c>
    </row>
    <row r="25" spans="2:110" x14ac:dyDescent="0.3">
      <c r="G25" s="83"/>
      <c r="H25" s="84"/>
      <c r="BT25" s="76"/>
      <c r="BU25" s="28"/>
      <c r="BV25" s="28"/>
      <c r="BW25" s="28"/>
      <c r="BX25" s="28"/>
      <c r="BY25" s="28"/>
    </row>
    <row r="26" spans="2:110" x14ac:dyDescent="0.3">
      <c r="G26" s="83"/>
      <c r="H26" s="84"/>
      <c r="BT26" s="76"/>
      <c r="BU26" s="28"/>
      <c r="BV26" s="28"/>
      <c r="BW26" s="28"/>
      <c r="BX26" s="28"/>
      <c r="BY26" s="28"/>
    </row>
    <row r="27" spans="2:110" x14ac:dyDescent="0.3">
      <c r="B27" t="s">
        <v>43</v>
      </c>
      <c r="C27" s="22">
        <f>C16</f>
        <v>0.95066079295154182</v>
      </c>
      <c r="E27" s="22">
        <f>E16</f>
        <v>2.8193832599118944E-2</v>
      </c>
      <c r="G27" s="22">
        <f>G16</f>
        <v>2.1145374449339206E-2</v>
      </c>
    </row>
    <row r="28" spans="2:110" x14ac:dyDescent="0.3">
      <c r="B28" t="s">
        <v>44</v>
      </c>
      <c r="C28" s="22">
        <f>K16</f>
        <v>0.57425742574257421</v>
      </c>
      <c r="E28" s="22">
        <f>M16</f>
        <v>7.9207920792079209E-2</v>
      </c>
      <c r="G28" s="22">
        <f>O16</f>
        <v>0.34653465346534651</v>
      </c>
    </row>
    <row r="29" spans="2:110" x14ac:dyDescent="0.3">
      <c r="B29" t="s">
        <v>60</v>
      </c>
      <c r="C29" s="22">
        <f>S16</f>
        <v>0.91990291262135926</v>
      </c>
      <c r="E29" s="22">
        <f>U16</f>
        <v>3.2362459546925564E-2</v>
      </c>
      <c r="G29" s="22">
        <f>W16</f>
        <v>4.7734627831715212E-2</v>
      </c>
    </row>
    <row r="30" spans="2:110" x14ac:dyDescent="0.3">
      <c r="B30" s="56">
        <v>6.6</v>
      </c>
      <c r="C30" s="22">
        <f>AB16</f>
        <v>0.8545454545454545</v>
      </c>
      <c r="E30" s="22">
        <f>AD16</f>
        <v>7.5324675324675322E-2</v>
      </c>
      <c r="G30" s="28">
        <f>AF16</f>
        <v>7.0129870129870125E-2</v>
      </c>
    </row>
    <row r="31" spans="2:110" x14ac:dyDescent="0.3">
      <c r="B31" s="56">
        <v>6.7</v>
      </c>
      <c r="C31" s="22">
        <f>AJ16</f>
        <v>0.6485623003194888</v>
      </c>
      <c r="E31" s="22">
        <f>AL16</f>
        <v>0.11501597444089456</v>
      </c>
      <c r="G31" s="28">
        <f>AN16</f>
        <v>0.2364217252396166</v>
      </c>
    </row>
    <row r="32" spans="2:110" x14ac:dyDescent="0.3">
      <c r="B32" s="56" t="s">
        <v>74</v>
      </c>
      <c r="C32" s="22">
        <f>AR16</f>
        <v>0.52595155709342556</v>
      </c>
      <c r="E32" s="22">
        <f>AT16</f>
        <v>0.20069204152249134</v>
      </c>
      <c r="G32" s="28">
        <f>AV16</f>
        <v>0.27335640138408307</v>
      </c>
    </row>
    <row r="33" spans="2:8" x14ac:dyDescent="0.3">
      <c r="B33" t="s">
        <v>45</v>
      </c>
      <c r="C33" s="22">
        <f>C69</f>
        <v>0.82072829131652658</v>
      </c>
      <c r="E33" s="22">
        <f>E69</f>
        <v>8.4033613445378158E-2</v>
      </c>
      <c r="G33" s="28">
        <f>G69</f>
        <v>9.5238095238095233E-2</v>
      </c>
    </row>
    <row r="34" spans="2:8" x14ac:dyDescent="0.3">
      <c r="B34" t="s">
        <v>42</v>
      </c>
      <c r="C34" s="22">
        <f>K86</f>
        <v>0.97068771138669674</v>
      </c>
      <c r="E34" s="22">
        <f>M86</f>
        <v>9.0191657271702363E-3</v>
      </c>
      <c r="G34" s="28">
        <f>O86</f>
        <v>2.0293122886133032E-2</v>
      </c>
    </row>
    <row r="35" spans="2:8" x14ac:dyDescent="0.3">
      <c r="B35" t="s">
        <v>46</v>
      </c>
      <c r="C35" s="22">
        <f>S86</f>
        <v>0.95198675496688745</v>
      </c>
      <c r="E35" s="22">
        <f>U86</f>
        <v>3.4768211920529798E-2</v>
      </c>
      <c r="G35" s="28">
        <f>W86</f>
        <v>1.3245033112582781E-2</v>
      </c>
    </row>
    <row r="36" spans="2:8" x14ac:dyDescent="0.3">
      <c r="B36" t="s">
        <v>64</v>
      </c>
      <c r="C36" s="22">
        <f>AB86</f>
        <v>0.73888888888888893</v>
      </c>
      <c r="E36" s="22">
        <f>AD86</f>
        <v>6.6666666666666666E-2</v>
      </c>
      <c r="G36" s="28">
        <f>AF86</f>
        <v>0.19444444444444445</v>
      </c>
    </row>
    <row r="37" spans="2:8" x14ac:dyDescent="0.3">
      <c r="B37" t="s">
        <v>65</v>
      </c>
      <c r="C37" s="22">
        <f>AJ86</f>
        <v>0.97576530612244894</v>
      </c>
      <c r="E37" s="22">
        <f>AL86</f>
        <v>1.2755102040816327E-2</v>
      </c>
      <c r="G37" s="28">
        <f>AN86</f>
        <v>1.1479591836734694E-2</v>
      </c>
    </row>
    <row r="39" spans="2:8" x14ac:dyDescent="0.3">
      <c r="C39" t="s">
        <v>0</v>
      </c>
      <c r="E39" t="s">
        <v>49</v>
      </c>
      <c r="G39" s="107" t="s">
        <v>61</v>
      </c>
      <c r="H39" s="108"/>
    </row>
    <row r="40" spans="2:8" x14ac:dyDescent="0.3">
      <c r="B40" t="s">
        <v>43</v>
      </c>
      <c r="C40" s="27">
        <v>1079</v>
      </c>
      <c r="D40" s="27"/>
      <c r="E40" s="27">
        <v>57</v>
      </c>
      <c r="F40" s="27"/>
      <c r="G40" s="27">
        <v>0</v>
      </c>
    </row>
    <row r="41" spans="2:8" x14ac:dyDescent="0.3">
      <c r="B41" t="s">
        <v>44</v>
      </c>
      <c r="C41" s="27">
        <v>125</v>
      </c>
      <c r="D41" s="27"/>
      <c r="E41" s="27">
        <v>0</v>
      </c>
      <c r="F41" s="27"/>
      <c r="G41" s="27">
        <v>0</v>
      </c>
    </row>
    <row r="42" spans="2:8" x14ac:dyDescent="0.3">
      <c r="B42" s="56">
        <v>6.6</v>
      </c>
      <c r="C42" s="27">
        <v>0</v>
      </c>
      <c r="D42" s="27"/>
      <c r="E42" s="27">
        <v>0</v>
      </c>
      <c r="F42" s="27"/>
      <c r="G42" s="27">
        <v>0</v>
      </c>
    </row>
    <row r="43" spans="2:8" x14ac:dyDescent="0.3">
      <c r="B43" t="s">
        <v>45</v>
      </c>
      <c r="C43" s="27">
        <v>194.333333333333</v>
      </c>
      <c r="D43" s="27"/>
      <c r="E43" s="27">
        <v>45</v>
      </c>
      <c r="F43" s="27"/>
      <c r="G43" s="27">
        <v>9</v>
      </c>
    </row>
    <row r="44" spans="2:8" x14ac:dyDescent="0.3">
      <c r="B44" t="s">
        <v>42</v>
      </c>
      <c r="C44" s="27">
        <v>150.333333333333</v>
      </c>
      <c r="D44" s="27"/>
      <c r="E44" s="27">
        <v>31</v>
      </c>
      <c r="F44" s="27"/>
      <c r="G44" s="27">
        <v>-9</v>
      </c>
    </row>
    <row r="45" spans="2:8" x14ac:dyDescent="0.3">
      <c r="B45" t="s">
        <v>46</v>
      </c>
      <c r="C45" s="27">
        <v>106.333333333333</v>
      </c>
      <c r="D45" s="27"/>
      <c r="E45" s="27">
        <v>17</v>
      </c>
      <c r="F45" s="27"/>
      <c r="G45" s="27">
        <v>-27</v>
      </c>
    </row>
    <row r="49" spans="2:77" ht="18.600000000000001" thickBot="1" x14ac:dyDescent="0.4">
      <c r="B49" s="1" t="s">
        <v>47</v>
      </c>
      <c r="J49" s="1" t="s">
        <v>42</v>
      </c>
      <c r="R49" s="1" t="s">
        <v>46</v>
      </c>
      <c r="AA49" s="1" t="s">
        <v>64</v>
      </c>
      <c r="AI49" s="1" t="s">
        <v>65</v>
      </c>
    </row>
    <row r="50" spans="2:77" ht="15" thickBot="1" x14ac:dyDescent="0.35">
      <c r="B50" s="18" t="s">
        <v>22</v>
      </c>
      <c r="C50" s="86" t="s">
        <v>0</v>
      </c>
      <c r="D50" s="86"/>
      <c r="E50" s="86" t="s">
        <v>49</v>
      </c>
      <c r="F50" s="86"/>
      <c r="G50" s="87" t="s">
        <v>61</v>
      </c>
      <c r="H50" s="88"/>
      <c r="J50" s="18" t="s">
        <v>22</v>
      </c>
      <c r="K50" s="86" t="s">
        <v>0</v>
      </c>
      <c r="L50" s="86"/>
      <c r="M50" s="86" t="s">
        <v>49</v>
      </c>
      <c r="N50" s="86"/>
      <c r="O50" s="87" t="s">
        <v>63</v>
      </c>
      <c r="P50" s="88"/>
      <c r="Q50" s="84"/>
      <c r="R50" s="18" t="s">
        <v>22</v>
      </c>
      <c r="S50" s="86" t="s">
        <v>0</v>
      </c>
      <c r="T50" s="86"/>
      <c r="U50" s="86" t="s">
        <v>49</v>
      </c>
      <c r="V50" s="86"/>
      <c r="W50" s="87" t="s">
        <v>61</v>
      </c>
      <c r="X50" s="88"/>
      <c r="Y50" s="84"/>
      <c r="AA50" s="18" t="s">
        <v>22</v>
      </c>
      <c r="AB50" s="86" t="s">
        <v>0</v>
      </c>
      <c r="AC50" s="86"/>
      <c r="AD50" s="86" t="s">
        <v>49</v>
      </c>
      <c r="AE50" s="86"/>
      <c r="AF50" s="87" t="s">
        <v>61</v>
      </c>
      <c r="AG50" s="88"/>
      <c r="AI50" s="18" t="s">
        <v>22</v>
      </c>
      <c r="AJ50" s="86" t="s">
        <v>0</v>
      </c>
      <c r="AK50" s="86"/>
      <c r="AL50" s="86" t="s">
        <v>49</v>
      </c>
      <c r="AM50" s="86"/>
      <c r="AN50" s="87" t="s">
        <v>61</v>
      </c>
      <c r="AO50" s="88"/>
    </row>
    <row r="51" spans="2:77" x14ac:dyDescent="0.3">
      <c r="B51" s="42" t="s">
        <v>50</v>
      </c>
      <c r="C51" s="9">
        <v>1</v>
      </c>
      <c r="D51" s="10">
        <f>C51/C68</f>
        <v>3.4129692832764505E-3</v>
      </c>
      <c r="E51" s="9">
        <v>0</v>
      </c>
      <c r="F51" s="26">
        <f t="shared" ref="F51:F57" si="31">E51/$E$68</f>
        <v>0</v>
      </c>
      <c r="G51" s="9">
        <v>0</v>
      </c>
      <c r="H51" s="23">
        <f t="shared" ref="H51:H57" si="32">G51/$G$68</f>
        <v>0</v>
      </c>
      <c r="J51" s="8" t="s">
        <v>11</v>
      </c>
      <c r="K51" s="9">
        <v>0</v>
      </c>
      <c r="L51" s="10">
        <f>K51/K85</f>
        <v>0</v>
      </c>
      <c r="M51" s="9">
        <v>0</v>
      </c>
      <c r="N51" s="10">
        <f t="shared" ref="N51:N57" si="33">M51/$M$85</f>
        <v>0</v>
      </c>
      <c r="O51" s="57">
        <v>0</v>
      </c>
      <c r="P51" s="23">
        <f t="shared" ref="P51:P57" si="34">O51/$O$85</f>
        <v>0</v>
      </c>
      <c r="Q51" s="35"/>
      <c r="R51" s="8" t="s">
        <v>11</v>
      </c>
      <c r="S51" s="9">
        <v>0</v>
      </c>
      <c r="T51" s="10">
        <f>S51/S85</f>
        <v>0</v>
      </c>
      <c r="U51" s="9">
        <v>0</v>
      </c>
      <c r="V51" s="10">
        <f t="shared" ref="V51:V57" si="35">U51/$U$85</f>
        <v>0</v>
      </c>
      <c r="W51" s="9">
        <v>0</v>
      </c>
      <c r="X51" s="23">
        <f t="shared" ref="X51:X57" si="36">W51/$W$85</f>
        <v>0</v>
      </c>
      <c r="Y51" s="35"/>
      <c r="AA51" s="8" t="s">
        <v>11</v>
      </c>
      <c r="AB51" s="9">
        <v>0</v>
      </c>
      <c r="AC51" s="10">
        <f>AB51/AB85</f>
        <v>0</v>
      </c>
      <c r="AD51" s="9">
        <v>0</v>
      </c>
      <c r="AE51" s="10">
        <f t="shared" ref="AE51:AE57" si="37">AD51/$AD$85</f>
        <v>0</v>
      </c>
      <c r="AF51" s="9">
        <v>0</v>
      </c>
      <c r="AG51" s="23">
        <f t="shared" ref="AG51:AG57" si="38">AF51/$AF$85</f>
        <v>0</v>
      </c>
      <c r="AI51" s="8" t="s">
        <v>78</v>
      </c>
      <c r="AJ51" s="9">
        <v>0</v>
      </c>
      <c r="AK51" s="10">
        <f>AJ51/AJ85</f>
        <v>0</v>
      </c>
      <c r="AL51" s="9">
        <v>0</v>
      </c>
      <c r="AM51" s="10">
        <f t="shared" ref="AM51:AM57" si="39">AL51/$AL$85</f>
        <v>0</v>
      </c>
      <c r="AN51" s="9">
        <v>1</v>
      </c>
      <c r="AO51" s="23">
        <f t="shared" ref="AO51:AO57" si="40">AN51/$AN$85</f>
        <v>0.1111111111111111</v>
      </c>
    </row>
    <row r="52" spans="2:77" x14ac:dyDescent="0.3">
      <c r="B52" s="40" t="s">
        <v>51</v>
      </c>
      <c r="C52" s="7">
        <v>1</v>
      </c>
      <c r="D52" s="11">
        <f>C52/C68</f>
        <v>3.4129692832764505E-3</v>
      </c>
      <c r="E52" s="7">
        <v>0</v>
      </c>
      <c r="F52" s="24">
        <f t="shared" si="31"/>
        <v>0</v>
      </c>
      <c r="G52" s="7">
        <v>1</v>
      </c>
      <c r="H52" s="25">
        <f t="shared" si="32"/>
        <v>2.9411764705882353E-2</v>
      </c>
      <c r="J52" s="2" t="s">
        <v>1</v>
      </c>
      <c r="K52" s="7">
        <v>0</v>
      </c>
      <c r="L52" s="11">
        <f>K52/K85</f>
        <v>0</v>
      </c>
      <c r="M52" s="7">
        <v>0</v>
      </c>
      <c r="N52" s="11">
        <f t="shared" si="33"/>
        <v>0</v>
      </c>
      <c r="O52" s="59">
        <v>0</v>
      </c>
      <c r="P52" s="25">
        <f t="shared" si="34"/>
        <v>0</v>
      </c>
      <c r="Q52" s="34"/>
      <c r="R52" s="2" t="s">
        <v>1</v>
      </c>
      <c r="S52" s="7">
        <v>0</v>
      </c>
      <c r="T52" s="11">
        <f t="shared" ref="T52:T57" si="41">S52/$S$85</f>
        <v>0</v>
      </c>
      <c r="U52" s="7">
        <v>0</v>
      </c>
      <c r="V52" s="11">
        <f t="shared" si="35"/>
        <v>0</v>
      </c>
      <c r="W52" s="7">
        <v>0</v>
      </c>
      <c r="X52" s="25">
        <f t="shared" si="36"/>
        <v>0</v>
      </c>
      <c r="Y52" s="34"/>
      <c r="AA52" s="2" t="s">
        <v>1</v>
      </c>
      <c r="AB52" s="7">
        <v>0</v>
      </c>
      <c r="AC52" s="11">
        <f>AB52/AB85</f>
        <v>0</v>
      </c>
      <c r="AD52" s="7">
        <v>0</v>
      </c>
      <c r="AE52" s="11">
        <f t="shared" si="37"/>
        <v>0</v>
      </c>
      <c r="AF52" s="7">
        <v>0</v>
      </c>
      <c r="AG52" s="13">
        <f t="shared" si="38"/>
        <v>0</v>
      </c>
      <c r="AI52" s="2" t="s">
        <v>1</v>
      </c>
      <c r="AJ52" s="7">
        <v>0</v>
      </c>
      <c r="AK52" s="11">
        <f t="shared" ref="AK52:AK57" si="42">AJ52/$AJ$85</f>
        <v>0</v>
      </c>
      <c r="AL52" s="7">
        <v>1</v>
      </c>
      <c r="AM52" s="11">
        <f t="shared" si="39"/>
        <v>0.1</v>
      </c>
      <c r="AN52" s="7">
        <v>0</v>
      </c>
      <c r="AO52" s="13">
        <f t="shared" si="40"/>
        <v>0</v>
      </c>
    </row>
    <row r="53" spans="2:77" x14ac:dyDescent="0.3">
      <c r="B53" s="41" t="s">
        <v>52</v>
      </c>
      <c r="C53" s="7">
        <v>4</v>
      </c>
      <c r="D53" s="11">
        <f>C53/C68</f>
        <v>1.3651877133105802E-2</v>
      </c>
      <c r="E53" s="7">
        <v>10</v>
      </c>
      <c r="F53" s="24">
        <f t="shared" si="31"/>
        <v>0.33333333333333331</v>
      </c>
      <c r="G53" s="7">
        <v>9</v>
      </c>
      <c r="H53" s="25">
        <f t="shared" si="32"/>
        <v>0.26470588235294118</v>
      </c>
      <c r="J53" s="3" t="s">
        <v>12</v>
      </c>
      <c r="K53" s="7">
        <v>70</v>
      </c>
      <c r="L53" s="11">
        <f>K53/K85</f>
        <v>8.1300813008130079E-2</v>
      </c>
      <c r="M53" s="7">
        <v>0</v>
      </c>
      <c r="N53" s="11">
        <f t="shared" si="33"/>
        <v>0</v>
      </c>
      <c r="O53" s="59">
        <v>1</v>
      </c>
      <c r="P53" s="25">
        <f t="shared" si="34"/>
        <v>5.5555555555555552E-2</v>
      </c>
      <c r="Q53" s="35"/>
      <c r="R53" s="3" t="s">
        <v>12</v>
      </c>
      <c r="S53" s="7">
        <v>47</v>
      </c>
      <c r="T53" s="11">
        <f t="shared" si="41"/>
        <v>8.1739130434782606E-2</v>
      </c>
      <c r="U53" s="7">
        <v>0</v>
      </c>
      <c r="V53" s="11">
        <f t="shared" si="35"/>
        <v>0</v>
      </c>
      <c r="W53" s="7">
        <v>0</v>
      </c>
      <c r="X53" s="25">
        <f t="shared" si="36"/>
        <v>0</v>
      </c>
      <c r="Y53" s="35"/>
      <c r="AA53" s="3" t="s">
        <v>12</v>
      </c>
      <c r="AB53" s="7">
        <v>11</v>
      </c>
      <c r="AC53" s="11">
        <f>AB53/AB85</f>
        <v>8.2706766917293228E-2</v>
      </c>
      <c r="AD53" s="7">
        <v>0</v>
      </c>
      <c r="AE53" s="11">
        <f t="shared" si="37"/>
        <v>0</v>
      </c>
      <c r="AF53" s="7">
        <v>2</v>
      </c>
      <c r="AG53" s="13">
        <f t="shared" si="38"/>
        <v>5.7142857142857141E-2</v>
      </c>
      <c r="AI53" s="3" t="s">
        <v>12</v>
      </c>
      <c r="AJ53" s="7">
        <v>62</v>
      </c>
      <c r="AK53" s="11">
        <f t="shared" si="42"/>
        <v>8.1045751633986932E-2</v>
      </c>
      <c r="AL53" s="7">
        <v>1</v>
      </c>
      <c r="AM53" s="11">
        <f t="shared" si="39"/>
        <v>0.1</v>
      </c>
      <c r="AN53" s="7">
        <v>0</v>
      </c>
      <c r="AO53" s="13">
        <f t="shared" si="40"/>
        <v>0</v>
      </c>
    </row>
    <row r="54" spans="2:77" x14ac:dyDescent="0.3">
      <c r="B54" s="41" t="s">
        <v>53</v>
      </c>
      <c r="C54" s="7">
        <v>37</v>
      </c>
      <c r="D54" s="11">
        <f>C54/C68</f>
        <v>0.12627986348122866</v>
      </c>
      <c r="E54" s="7">
        <v>2</v>
      </c>
      <c r="F54" s="24">
        <f t="shared" si="31"/>
        <v>6.6666666666666666E-2</v>
      </c>
      <c r="G54" s="7">
        <v>5</v>
      </c>
      <c r="H54" s="25">
        <f t="shared" si="32"/>
        <v>0.14705882352941177</v>
      </c>
      <c r="J54" s="3" t="s">
        <v>27</v>
      </c>
      <c r="K54" s="7">
        <v>0</v>
      </c>
      <c r="L54" s="11">
        <f>K54/K85</f>
        <v>0</v>
      </c>
      <c r="M54" s="7">
        <v>0</v>
      </c>
      <c r="N54" s="11">
        <f t="shared" si="33"/>
        <v>0</v>
      </c>
      <c r="O54" s="59">
        <v>0</v>
      </c>
      <c r="P54" s="25">
        <f t="shared" si="34"/>
        <v>0</v>
      </c>
      <c r="Q54" s="34"/>
      <c r="R54" s="3" t="s">
        <v>27</v>
      </c>
      <c r="S54" s="7">
        <v>0</v>
      </c>
      <c r="T54" s="11">
        <f t="shared" si="41"/>
        <v>0</v>
      </c>
      <c r="U54" s="7">
        <v>0</v>
      </c>
      <c r="V54" s="11">
        <f t="shared" si="35"/>
        <v>0</v>
      </c>
      <c r="W54" s="7">
        <v>0</v>
      </c>
      <c r="X54" s="25">
        <f t="shared" si="36"/>
        <v>0</v>
      </c>
      <c r="Y54" s="34"/>
      <c r="AA54" s="3" t="s">
        <v>27</v>
      </c>
      <c r="AB54" s="7">
        <v>0</v>
      </c>
      <c r="AC54" s="11">
        <f>AB54/AB85</f>
        <v>0</v>
      </c>
      <c r="AD54" s="7">
        <v>0</v>
      </c>
      <c r="AE54" s="11">
        <f t="shared" si="37"/>
        <v>0</v>
      </c>
      <c r="AF54" s="7">
        <v>0</v>
      </c>
      <c r="AG54" s="13">
        <f t="shared" si="38"/>
        <v>0</v>
      </c>
      <c r="AI54" s="3" t="s">
        <v>75</v>
      </c>
      <c r="AJ54" s="7">
        <v>0</v>
      </c>
      <c r="AK54" s="11">
        <f t="shared" si="42"/>
        <v>0</v>
      </c>
      <c r="AL54" s="7">
        <v>2</v>
      </c>
      <c r="AM54" s="11">
        <f t="shared" si="39"/>
        <v>0.2</v>
      </c>
      <c r="AN54" s="7">
        <v>1</v>
      </c>
      <c r="AO54" s="13">
        <f t="shared" si="40"/>
        <v>0.1111111111111111</v>
      </c>
    </row>
    <row r="55" spans="2:77" x14ac:dyDescent="0.3">
      <c r="B55" s="41" t="s">
        <v>54</v>
      </c>
      <c r="C55" s="7">
        <v>0</v>
      </c>
      <c r="D55" s="11">
        <f>C55/C68</f>
        <v>0</v>
      </c>
      <c r="E55" s="7">
        <v>2</v>
      </c>
      <c r="F55" s="24">
        <f t="shared" si="31"/>
        <v>6.6666666666666666E-2</v>
      </c>
      <c r="G55" s="7">
        <v>1</v>
      </c>
      <c r="H55" s="25">
        <f t="shared" si="32"/>
        <v>2.9411764705882353E-2</v>
      </c>
      <c r="J55" s="3" t="s">
        <v>28</v>
      </c>
      <c r="K55" s="7">
        <v>0</v>
      </c>
      <c r="L55" s="11">
        <f>K55/K85</f>
        <v>0</v>
      </c>
      <c r="M55" s="7">
        <v>0</v>
      </c>
      <c r="N55" s="11">
        <f t="shared" si="33"/>
        <v>0</v>
      </c>
      <c r="O55" s="59">
        <v>0</v>
      </c>
      <c r="P55" s="25">
        <f t="shared" si="34"/>
        <v>0</v>
      </c>
      <c r="Q55" s="34"/>
      <c r="R55" s="3" t="s">
        <v>28</v>
      </c>
      <c r="S55" s="7">
        <v>0</v>
      </c>
      <c r="T55" s="11">
        <f t="shared" si="41"/>
        <v>0</v>
      </c>
      <c r="U55" s="7">
        <v>0</v>
      </c>
      <c r="V55" s="11">
        <f t="shared" si="35"/>
        <v>0</v>
      </c>
      <c r="W55" s="7">
        <v>0</v>
      </c>
      <c r="X55" s="25">
        <f t="shared" si="36"/>
        <v>0</v>
      </c>
      <c r="Y55" s="34"/>
      <c r="AA55" s="3" t="s">
        <v>28</v>
      </c>
      <c r="AB55" s="7">
        <v>0</v>
      </c>
      <c r="AC55" s="11">
        <f>AB55/AB85</f>
        <v>0</v>
      </c>
      <c r="AD55" s="7">
        <v>0</v>
      </c>
      <c r="AE55" s="11">
        <f t="shared" si="37"/>
        <v>0</v>
      </c>
      <c r="AF55" s="7">
        <v>0</v>
      </c>
      <c r="AG55" s="13">
        <f t="shared" si="38"/>
        <v>0</v>
      </c>
      <c r="AI55" s="3" t="s">
        <v>28</v>
      </c>
      <c r="AJ55" s="7">
        <v>0</v>
      </c>
      <c r="AK55" s="11">
        <f t="shared" si="42"/>
        <v>0</v>
      </c>
      <c r="AL55" s="7">
        <v>0</v>
      </c>
      <c r="AM55" s="11">
        <f t="shared" si="39"/>
        <v>0</v>
      </c>
      <c r="AN55" s="7">
        <v>2</v>
      </c>
      <c r="AO55" s="13">
        <f t="shared" si="40"/>
        <v>0.22222222222222221</v>
      </c>
    </row>
    <row r="56" spans="2:77" x14ac:dyDescent="0.3">
      <c r="B56" s="41" t="s">
        <v>36</v>
      </c>
      <c r="C56" s="7">
        <v>0</v>
      </c>
      <c r="D56" s="11">
        <f>C56/C68</f>
        <v>0</v>
      </c>
      <c r="E56" s="7">
        <v>2</v>
      </c>
      <c r="F56" s="24">
        <f t="shared" si="31"/>
        <v>6.6666666666666666E-2</v>
      </c>
      <c r="G56" s="7">
        <v>0</v>
      </c>
      <c r="H56" s="25">
        <f t="shared" si="32"/>
        <v>0</v>
      </c>
      <c r="J56" s="3" t="s">
        <v>29</v>
      </c>
      <c r="K56" s="7">
        <v>0</v>
      </c>
      <c r="L56" s="11">
        <f>K56/K85</f>
        <v>0</v>
      </c>
      <c r="M56" s="7">
        <v>0</v>
      </c>
      <c r="N56" s="11">
        <f t="shared" si="33"/>
        <v>0</v>
      </c>
      <c r="O56" s="59">
        <v>0</v>
      </c>
      <c r="P56" s="25">
        <f t="shared" si="34"/>
        <v>0</v>
      </c>
      <c r="Q56" s="34"/>
      <c r="R56" s="3" t="s">
        <v>29</v>
      </c>
      <c r="S56" s="7">
        <v>0</v>
      </c>
      <c r="T56" s="11">
        <f t="shared" si="41"/>
        <v>0</v>
      </c>
      <c r="U56" s="7">
        <v>0</v>
      </c>
      <c r="V56" s="11">
        <f t="shared" si="35"/>
        <v>0</v>
      </c>
      <c r="W56" s="7">
        <v>0</v>
      </c>
      <c r="X56" s="25">
        <f t="shared" si="36"/>
        <v>0</v>
      </c>
      <c r="Y56" s="34"/>
      <c r="AA56" s="3" t="s">
        <v>29</v>
      </c>
      <c r="AB56" s="7">
        <v>0</v>
      </c>
      <c r="AC56" s="11">
        <f>AB56/AB85</f>
        <v>0</v>
      </c>
      <c r="AD56" s="7">
        <v>0</v>
      </c>
      <c r="AE56" s="11">
        <f t="shared" si="37"/>
        <v>0</v>
      </c>
      <c r="AF56" s="7">
        <v>0</v>
      </c>
      <c r="AG56" s="13">
        <f t="shared" si="38"/>
        <v>0</v>
      </c>
      <c r="AI56" s="3" t="s">
        <v>29</v>
      </c>
      <c r="AJ56" s="7">
        <v>0</v>
      </c>
      <c r="AK56" s="11">
        <f t="shared" si="42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77" x14ac:dyDescent="0.3">
      <c r="B57" s="41" t="s">
        <v>55</v>
      </c>
      <c r="C57" s="7">
        <v>1</v>
      </c>
      <c r="D57" s="11">
        <f>C57/C68</f>
        <v>3.4129692832764505E-3</v>
      </c>
      <c r="E57" s="7">
        <v>0</v>
      </c>
      <c r="F57" s="24">
        <f t="shared" si="31"/>
        <v>0</v>
      </c>
      <c r="G57" s="7">
        <v>0</v>
      </c>
      <c r="H57" s="25">
        <f t="shared" si="32"/>
        <v>0</v>
      </c>
      <c r="J57" s="3" t="s">
        <v>13</v>
      </c>
      <c r="K57" s="7">
        <v>0</v>
      </c>
      <c r="L57" s="11">
        <f>K57/K85</f>
        <v>0</v>
      </c>
      <c r="M57" s="7">
        <v>0</v>
      </c>
      <c r="N57" s="11">
        <f t="shared" si="33"/>
        <v>0</v>
      </c>
      <c r="O57" s="59">
        <v>0</v>
      </c>
      <c r="P57" s="25">
        <f t="shared" si="34"/>
        <v>0</v>
      </c>
      <c r="Q57" s="35"/>
      <c r="R57" s="3" t="s">
        <v>13</v>
      </c>
      <c r="S57" s="7">
        <v>0</v>
      </c>
      <c r="T57" s="11">
        <f t="shared" si="41"/>
        <v>0</v>
      </c>
      <c r="U57" s="7">
        <v>0</v>
      </c>
      <c r="V57" s="11">
        <f t="shared" si="35"/>
        <v>0</v>
      </c>
      <c r="W57" s="7">
        <v>0</v>
      </c>
      <c r="X57" s="25">
        <f t="shared" si="36"/>
        <v>0</v>
      </c>
      <c r="Y57" s="35"/>
      <c r="AA57" s="3" t="s">
        <v>13</v>
      </c>
      <c r="AB57" s="7">
        <v>0</v>
      </c>
      <c r="AC57" s="11">
        <f>AB57/AB85</f>
        <v>0</v>
      </c>
      <c r="AD57" s="7">
        <v>0</v>
      </c>
      <c r="AE57" s="11">
        <f t="shared" si="37"/>
        <v>0</v>
      </c>
      <c r="AF57" s="7">
        <v>0</v>
      </c>
      <c r="AG57" s="13">
        <f t="shared" si="38"/>
        <v>0</v>
      </c>
      <c r="AI57" s="3" t="s">
        <v>13</v>
      </c>
      <c r="AJ57" s="7">
        <v>0</v>
      </c>
      <c r="AK57" s="11">
        <f t="shared" si="42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  <c r="BU57" t="str">
        <f>BU18</f>
        <v>Release</v>
      </c>
      <c r="BW57" t="str">
        <f t="shared" ref="BW57:BY57" si="43">BW18</f>
        <v>0-4 mo</v>
      </c>
      <c r="BY57" t="str">
        <f t="shared" si="43"/>
        <v>4-12 mo</v>
      </c>
    </row>
    <row r="58" spans="2:77" x14ac:dyDescent="0.3">
      <c r="B58" s="41"/>
      <c r="C58" s="7"/>
      <c r="D58" s="11"/>
      <c r="E58" s="7"/>
      <c r="F58" s="24"/>
      <c r="G58" s="7"/>
      <c r="H58" s="25"/>
      <c r="J58" s="3"/>
      <c r="K58" s="7"/>
      <c r="L58" s="11"/>
      <c r="M58" s="7"/>
      <c r="N58" s="11"/>
      <c r="O58" s="59"/>
      <c r="P58" s="25"/>
      <c r="Q58" s="35"/>
      <c r="R58" s="3"/>
      <c r="S58" s="7"/>
      <c r="T58" s="11"/>
      <c r="U58" s="7"/>
      <c r="V58" s="11"/>
      <c r="W58" s="7"/>
      <c r="X58" s="25"/>
      <c r="Y58" s="35"/>
      <c r="AA58" s="3"/>
      <c r="AB58" s="7"/>
      <c r="AC58" s="11"/>
      <c r="AD58" s="7"/>
      <c r="AE58" s="11"/>
      <c r="AF58" s="7"/>
      <c r="AG58" s="13"/>
      <c r="AI58" s="3"/>
      <c r="AJ58" s="7"/>
      <c r="AK58" s="11"/>
      <c r="AL58" s="7"/>
      <c r="AM58" s="11"/>
      <c r="AN58" s="7"/>
      <c r="AO58" s="13"/>
      <c r="BT58" s="76" t="str">
        <f>BT20</f>
        <v>7.2.x</v>
      </c>
      <c r="BU58" s="22">
        <f>BU20</f>
        <v>0.70219435736677116</v>
      </c>
      <c r="BW58" s="22">
        <f>BW20</f>
        <v>6.5830721003134793E-2</v>
      </c>
      <c r="BY58" s="22">
        <f>BY20</f>
        <v>0.23197492163009403</v>
      </c>
    </row>
    <row r="59" spans="2:77" x14ac:dyDescent="0.3">
      <c r="B59" s="41" t="s">
        <v>56</v>
      </c>
      <c r="C59" s="7">
        <v>213</v>
      </c>
      <c r="D59" s="11">
        <f>C59/C68</f>
        <v>0.726962457337884</v>
      </c>
      <c r="E59" s="7">
        <v>10</v>
      </c>
      <c r="F59" s="24">
        <f>E59/$E$68</f>
        <v>0.33333333333333331</v>
      </c>
      <c r="G59" s="7">
        <v>13</v>
      </c>
      <c r="H59" s="25">
        <f>G59/$G$68</f>
        <v>0.38235294117647056</v>
      </c>
      <c r="J59" s="3" t="s">
        <v>14</v>
      </c>
      <c r="K59" s="7">
        <v>80</v>
      </c>
      <c r="L59" s="11">
        <f>K59/K85</f>
        <v>9.2915214866434379E-2</v>
      </c>
      <c r="M59" s="7">
        <v>0</v>
      </c>
      <c r="N59" s="11">
        <f>M59/$M$85</f>
        <v>0</v>
      </c>
      <c r="O59" s="59">
        <v>1</v>
      </c>
      <c r="P59" s="25">
        <f>O59/$O$85</f>
        <v>5.5555555555555552E-2</v>
      </c>
      <c r="Q59" s="35"/>
      <c r="R59" s="3" t="s">
        <v>14</v>
      </c>
      <c r="S59" s="7">
        <v>53</v>
      </c>
      <c r="T59" s="11">
        <f>S59/$S$85</f>
        <v>9.2173913043478259E-2</v>
      </c>
      <c r="U59" s="7">
        <v>0</v>
      </c>
      <c r="V59" s="11">
        <f>U59/$U$85</f>
        <v>0</v>
      </c>
      <c r="W59" s="7">
        <v>0</v>
      </c>
      <c r="X59" s="25">
        <f>W59/$W$85</f>
        <v>0</v>
      </c>
      <c r="Y59" s="35"/>
      <c r="AA59" s="3" t="s">
        <v>14</v>
      </c>
      <c r="AB59" s="7">
        <v>12</v>
      </c>
      <c r="AC59" s="11">
        <f>AB59/AB85</f>
        <v>9.0225563909774431E-2</v>
      </c>
      <c r="AD59" s="7">
        <v>0</v>
      </c>
      <c r="AE59" s="11">
        <f>AD59/$AD$85</f>
        <v>0</v>
      </c>
      <c r="AF59" s="7">
        <v>9</v>
      </c>
      <c r="AG59" s="13">
        <f>AF59/$AF$85</f>
        <v>0.25714285714285712</v>
      </c>
      <c r="AI59" s="3" t="s">
        <v>14</v>
      </c>
      <c r="AJ59" s="7">
        <v>71</v>
      </c>
      <c r="AK59" s="11">
        <f>AJ59/$AJ$85</f>
        <v>9.2810457516339873E-2</v>
      </c>
      <c r="AL59" s="7">
        <v>0</v>
      </c>
      <c r="AM59" s="11">
        <f>AL59/$AL$85</f>
        <v>0</v>
      </c>
      <c r="AN59" s="7">
        <v>0</v>
      </c>
      <c r="AO59" s="13">
        <f>AN59/$AN$85</f>
        <v>0</v>
      </c>
      <c r="BT59" s="76" t="str">
        <f>BT21</f>
        <v>7.3.x</v>
      </c>
      <c r="BU59" s="28">
        <f t="shared" ref="BU59:BY60" si="44">BU21</f>
        <v>0.84347826086956523</v>
      </c>
      <c r="BV59" s="76"/>
      <c r="BW59" s="28">
        <f t="shared" si="44"/>
        <v>3.4782608695652174E-2</v>
      </c>
      <c r="BX59" s="28"/>
      <c r="BY59" s="28">
        <f t="shared" si="44"/>
        <v>0.12173913043478261</v>
      </c>
    </row>
    <row r="60" spans="2:77" x14ac:dyDescent="0.3">
      <c r="B60" s="41" t="s">
        <v>57</v>
      </c>
      <c r="C60" s="7">
        <v>9</v>
      </c>
      <c r="D60" s="11">
        <f>C60/C68</f>
        <v>3.0716723549488054E-2</v>
      </c>
      <c r="E60" s="7">
        <v>0</v>
      </c>
      <c r="F60" s="24">
        <f>E60/$E$68</f>
        <v>0</v>
      </c>
      <c r="G60" s="7">
        <v>1</v>
      </c>
      <c r="H60" s="25">
        <f>G60/$G$68</f>
        <v>2.9411764705882353E-2</v>
      </c>
      <c r="J60" s="3" t="s">
        <v>3</v>
      </c>
      <c r="K60" s="7">
        <v>0</v>
      </c>
      <c r="L60" s="11">
        <f>K60/K85</f>
        <v>0</v>
      </c>
      <c r="M60" s="7">
        <v>0</v>
      </c>
      <c r="N60" s="11">
        <f>M60/$M$85</f>
        <v>0</v>
      </c>
      <c r="O60" s="59">
        <v>1</v>
      </c>
      <c r="P60" s="25">
        <f>O60/$O$85</f>
        <v>5.5555555555555552E-2</v>
      </c>
      <c r="Q60" s="35"/>
      <c r="R60" s="3" t="s">
        <v>3</v>
      </c>
      <c r="S60" s="7">
        <v>0</v>
      </c>
      <c r="T60" s="11">
        <f>S60/$S$85</f>
        <v>0</v>
      </c>
      <c r="U60" s="7">
        <v>0</v>
      </c>
      <c r="V60" s="11">
        <f>U60/$U$85</f>
        <v>0</v>
      </c>
      <c r="W60" s="7">
        <v>0</v>
      </c>
      <c r="X60" s="25">
        <f>W60/$W$85</f>
        <v>0</v>
      </c>
      <c r="Y60" s="35"/>
      <c r="AA60" s="3" t="s">
        <v>3</v>
      </c>
      <c r="AB60" s="7">
        <v>0</v>
      </c>
      <c r="AC60" s="11">
        <f>AB60/AB85</f>
        <v>0</v>
      </c>
      <c r="AD60" s="7">
        <v>0</v>
      </c>
      <c r="AE60" s="11">
        <f>AD60/$AD$85</f>
        <v>0</v>
      </c>
      <c r="AF60" s="7">
        <v>0</v>
      </c>
      <c r="AG60" s="13">
        <f>AF60/$AF$85</f>
        <v>0</v>
      </c>
      <c r="AI60" s="3" t="s">
        <v>3</v>
      </c>
      <c r="AJ60" s="7">
        <v>0</v>
      </c>
      <c r="AK60" s="11">
        <f>AJ60/$AJ$85</f>
        <v>0</v>
      </c>
      <c r="AL60" s="7">
        <v>0</v>
      </c>
      <c r="AM60" s="11">
        <f>AL60/$AL$85</f>
        <v>0</v>
      </c>
      <c r="AN60" s="7">
        <v>0</v>
      </c>
      <c r="AO60" s="13">
        <f>AN60/$AN$85</f>
        <v>0</v>
      </c>
      <c r="BT60" s="76" t="str">
        <f>BT22</f>
        <v>7.4.x</v>
      </c>
      <c r="BU60" s="28">
        <f t="shared" si="44"/>
        <v>0.7807017543859649</v>
      </c>
      <c r="BV60" s="76"/>
      <c r="BW60" s="28">
        <f t="shared" si="44"/>
        <v>6.1403508771929821E-2</v>
      </c>
      <c r="BX60" s="28"/>
      <c r="BY60" s="28">
        <f t="shared" si="44"/>
        <v>0.15789473684210525</v>
      </c>
    </row>
    <row r="61" spans="2:77" x14ac:dyDescent="0.3">
      <c r="B61" s="41"/>
      <c r="C61" s="7"/>
      <c r="D61" s="11"/>
      <c r="E61" s="7"/>
      <c r="F61" s="24"/>
      <c r="G61" s="7"/>
      <c r="H61" s="25"/>
      <c r="J61" s="3"/>
      <c r="K61" s="7"/>
      <c r="L61" s="11"/>
      <c r="M61" s="7"/>
      <c r="N61" s="11"/>
      <c r="O61" s="59"/>
      <c r="P61" s="25"/>
      <c r="Q61" s="35"/>
      <c r="R61" s="3"/>
      <c r="S61" s="7"/>
      <c r="T61" s="11"/>
      <c r="U61" s="7"/>
      <c r="V61" s="11"/>
      <c r="W61" s="7"/>
      <c r="X61" s="25"/>
      <c r="Y61" s="35"/>
      <c r="AA61" s="3"/>
      <c r="AB61" s="7"/>
      <c r="AC61" s="11"/>
      <c r="AD61" s="7"/>
      <c r="AE61" s="11"/>
      <c r="AF61" s="7"/>
      <c r="AG61" s="13"/>
      <c r="AI61" s="3"/>
      <c r="AJ61" s="7"/>
      <c r="AK61" s="11"/>
      <c r="AL61" s="7"/>
      <c r="AM61" s="11"/>
      <c r="AN61" s="7"/>
      <c r="AO61" s="13"/>
      <c r="BT61" s="76" t="str">
        <f>BT23</f>
        <v>7.5.x</v>
      </c>
      <c r="BU61" s="28">
        <f>BU23</f>
        <v>0.82242990654205606</v>
      </c>
      <c r="BV61" s="76"/>
      <c r="BW61" s="28">
        <f>BW23</f>
        <v>5.6074766355140186E-2</v>
      </c>
      <c r="BX61" s="28"/>
      <c r="BY61" s="28">
        <f>BY23</f>
        <v>0.12149532710280374</v>
      </c>
    </row>
    <row r="62" spans="2:77" x14ac:dyDescent="0.3">
      <c r="B62" s="41"/>
      <c r="C62" s="7"/>
      <c r="D62" s="11"/>
      <c r="E62" s="7"/>
      <c r="F62" s="24"/>
      <c r="G62" s="7"/>
      <c r="H62" s="25"/>
      <c r="J62" s="3"/>
      <c r="K62" s="7"/>
      <c r="L62" s="11"/>
      <c r="M62" s="7"/>
      <c r="N62" s="11"/>
      <c r="O62" s="59"/>
      <c r="P62" s="25"/>
      <c r="Q62" s="35"/>
      <c r="R62" s="3"/>
      <c r="S62" s="7"/>
      <c r="T62" s="11"/>
      <c r="U62" s="7"/>
      <c r="V62" s="11"/>
      <c r="W62" s="7"/>
      <c r="X62" s="25"/>
      <c r="Y62" s="35"/>
      <c r="AA62" s="3"/>
      <c r="AB62" s="7"/>
      <c r="AC62" s="11"/>
      <c r="AD62" s="7"/>
      <c r="AE62" s="11"/>
      <c r="AF62" s="7"/>
      <c r="AG62" s="13"/>
      <c r="AI62" s="3"/>
      <c r="AJ62" s="7"/>
      <c r="AK62" s="11"/>
      <c r="AL62" s="7"/>
      <c r="AM62" s="11"/>
      <c r="AN62" s="7"/>
      <c r="AO62" s="13"/>
      <c r="BT62" s="76" t="str">
        <f>BT24</f>
        <v>7.6.x</v>
      </c>
      <c r="BU62" s="28">
        <f>BU24</f>
        <v>0.77348066298342544</v>
      </c>
      <c r="BV62" s="76"/>
      <c r="BW62" s="28">
        <f>BW24</f>
        <v>1.6574585635359115E-2</v>
      </c>
      <c r="BX62" s="28"/>
      <c r="BY62" s="28">
        <f>BY24</f>
        <v>0.20994475138121546</v>
      </c>
    </row>
    <row r="63" spans="2:77" x14ac:dyDescent="0.3">
      <c r="B63" s="41"/>
      <c r="C63" s="7"/>
      <c r="D63" s="11"/>
      <c r="E63" s="7"/>
      <c r="F63" s="24"/>
      <c r="G63" s="7"/>
      <c r="H63" s="25"/>
      <c r="J63" s="3"/>
      <c r="K63" s="7"/>
      <c r="L63" s="11"/>
      <c r="M63" s="7"/>
      <c r="N63" s="11"/>
      <c r="O63" s="59"/>
      <c r="P63" s="25"/>
      <c r="Q63" s="35"/>
      <c r="R63" s="3"/>
      <c r="S63" s="7"/>
      <c r="T63" s="11"/>
      <c r="U63" s="7"/>
      <c r="V63" s="11"/>
      <c r="W63" s="7"/>
      <c r="X63" s="25"/>
      <c r="Y63" s="35"/>
      <c r="AA63" s="3"/>
      <c r="AB63" s="7"/>
      <c r="AC63" s="11"/>
      <c r="AD63" s="7"/>
      <c r="AE63" s="11"/>
      <c r="AF63" s="7"/>
      <c r="AG63" s="13"/>
      <c r="AI63" s="3"/>
      <c r="AJ63" s="7"/>
      <c r="AK63" s="11"/>
      <c r="AL63" s="7"/>
      <c r="AM63" s="11"/>
      <c r="AN63" s="7"/>
      <c r="AO63" s="13"/>
      <c r="BT63" s="76"/>
      <c r="BU63" s="28"/>
      <c r="BV63" s="76"/>
      <c r="BW63" s="28"/>
      <c r="BX63" s="28"/>
      <c r="BY63" s="28"/>
    </row>
    <row r="64" spans="2:77" x14ac:dyDescent="0.3">
      <c r="B64" s="41"/>
      <c r="C64" s="7"/>
      <c r="D64" s="11"/>
      <c r="E64" s="7"/>
      <c r="F64" s="24"/>
      <c r="G64" s="7"/>
      <c r="H64" s="25"/>
      <c r="J64" s="3"/>
      <c r="K64" s="7"/>
      <c r="L64" s="11"/>
      <c r="M64" s="7"/>
      <c r="N64" s="11"/>
      <c r="O64" s="59"/>
      <c r="P64" s="25"/>
      <c r="Q64" s="35"/>
      <c r="R64" s="3"/>
      <c r="S64" s="7"/>
      <c r="T64" s="11"/>
      <c r="U64" s="7"/>
      <c r="V64" s="11"/>
      <c r="W64" s="7"/>
      <c r="X64" s="25"/>
      <c r="Y64" s="35"/>
      <c r="AA64" s="3"/>
      <c r="AB64" s="7"/>
      <c r="AC64" s="11"/>
      <c r="AD64" s="7"/>
      <c r="AE64" s="11"/>
      <c r="AF64" s="7"/>
      <c r="AG64" s="13"/>
      <c r="AI64" s="3"/>
      <c r="AJ64" s="7"/>
      <c r="AK64" s="11"/>
      <c r="AL64" s="7"/>
      <c r="AM64" s="11"/>
      <c r="AN64" s="7"/>
      <c r="AO64" s="13"/>
      <c r="BT64" s="76"/>
      <c r="BU64" s="28"/>
      <c r="BV64" s="76"/>
      <c r="BW64" s="28"/>
      <c r="BX64" s="28"/>
      <c r="BY64" s="28"/>
    </row>
    <row r="65" spans="2:77" x14ac:dyDescent="0.3">
      <c r="B65" s="41"/>
      <c r="C65" s="7"/>
      <c r="D65" s="11"/>
      <c r="E65" s="7"/>
      <c r="F65" s="24"/>
      <c r="G65" s="7"/>
      <c r="H65" s="25"/>
      <c r="J65" s="3"/>
      <c r="K65" s="7"/>
      <c r="L65" s="11"/>
      <c r="M65" s="7"/>
      <c r="N65" s="11"/>
      <c r="O65" s="59"/>
      <c r="P65" s="25"/>
      <c r="Q65" s="35"/>
      <c r="R65" s="3"/>
      <c r="S65" s="7"/>
      <c r="T65" s="11"/>
      <c r="U65" s="7"/>
      <c r="V65" s="11"/>
      <c r="W65" s="7"/>
      <c r="X65" s="25"/>
      <c r="Y65" s="35"/>
      <c r="AA65" s="3"/>
      <c r="AB65" s="7"/>
      <c r="AC65" s="11"/>
      <c r="AD65" s="7"/>
      <c r="AE65" s="11"/>
      <c r="AF65" s="7"/>
      <c r="AG65" s="13"/>
      <c r="AI65" s="3"/>
      <c r="AJ65" s="7"/>
      <c r="AK65" s="11"/>
      <c r="AL65" s="7"/>
      <c r="AM65" s="11"/>
      <c r="AN65" s="7"/>
      <c r="AO65" s="13"/>
      <c r="BT65" s="76"/>
      <c r="BU65" s="28"/>
      <c r="BV65" s="76"/>
      <c r="BW65" s="28"/>
      <c r="BX65" s="28"/>
      <c r="BY65" s="28"/>
    </row>
    <row r="66" spans="2:77" x14ac:dyDescent="0.3">
      <c r="B66" s="41" t="s">
        <v>58</v>
      </c>
      <c r="C66" s="7">
        <v>5</v>
      </c>
      <c r="D66" s="11">
        <f>C66/C68</f>
        <v>1.7064846416382253E-2</v>
      </c>
      <c r="E66" s="7">
        <v>1</v>
      </c>
      <c r="F66" s="24">
        <f>E66/$E$68</f>
        <v>3.3333333333333333E-2</v>
      </c>
      <c r="G66" s="7">
        <v>1</v>
      </c>
      <c r="H66" s="25">
        <f>G66/$G$68</f>
        <v>2.9411764705882353E-2</v>
      </c>
      <c r="J66" s="3" t="s">
        <v>30</v>
      </c>
      <c r="K66" s="7">
        <v>0</v>
      </c>
      <c r="L66" s="11">
        <f>K66/K85</f>
        <v>0</v>
      </c>
      <c r="M66" s="7">
        <v>0</v>
      </c>
      <c r="N66" s="11">
        <f t="shared" ref="N66:N84" si="45">M66/$M$85</f>
        <v>0</v>
      </c>
      <c r="O66" s="59">
        <v>0</v>
      </c>
      <c r="P66" s="25">
        <f t="shared" ref="P66:P84" si="46">O66/$O$85</f>
        <v>0</v>
      </c>
      <c r="Q66" s="34"/>
      <c r="R66" s="3" t="s">
        <v>30</v>
      </c>
      <c r="S66" s="7">
        <v>0</v>
      </c>
      <c r="T66" s="11">
        <f t="shared" ref="T66:T84" si="47">S66/$S$85</f>
        <v>0</v>
      </c>
      <c r="U66" s="7">
        <v>0</v>
      </c>
      <c r="V66" s="11">
        <f t="shared" ref="V66:V84" si="48">U66/$U$85</f>
        <v>0</v>
      </c>
      <c r="W66" s="7">
        <v>0</v>
      </c>
      <c r="X66" s="25">
        <f t="shared" ref="X66:X84" si="49">W66/$W$85</f>
        <v>0</v>
      </c>
      <c r="Y66" s="34"/>
      <c r="AA66" s="3" t="s">
        <v>30</v>
      </c>
      <c r="AB66" s="7">
        <v>0</v>
      </c>
      <c r="AC66" s="11">
        <f>AB66/AB85</f>
        <v>0</v>
      </c>
      <c r="AD66" s="7">
        <v>0</v>
      </c>
      <c r="AE66" s="11">
        <f t="shared" ref="AE66:AE84" si="50">AD66/$AD$85</f>
        <v>0</v>
      </c>
      <c r="AF66" s="7">
        <v>0</v>
      </c>
      <c r="AG66" s="13">
        <f t="shared" ref="AG66:AG84" si="51">AF66/$AF$85</f>
        <v>0</v>
      </c>
      <c r="AI66" s="3" t="s">
        <v>30</v>
      </c>
      <c r="AJ66" s="7">
        <v>0</v>
      </c>
      <c r="AK66" s="11">
        <f t="shared" ref="AK66:AK84" si="52">AJ66/$AJ$85</f>
        <v>0</v>
      </c>
      <c r="AL66" s="7">
        <v>0</v>
      </c>
      <c r="AM66" s="11">
        <f t="shared" ref="AM66:AM84" si="53">AL66/$AL$85</f>
        <v>0</v>
      </c>
      <c r="AN66" s="7">
        <v>0</v>
      </c>
      <c r="AO66" s="13">
        <f t="shared" ref="AO66:AO84" si="54">AN66/$AN$85</f>
        <v>0</v>
      </c>
    </row>
    <row r="67" spans="2:77" ht="15" thickBot="1" x14ac:dyDescent="0.35">
      <c r="B67" s="43" t="s">
        <v>59</v>
      </c>
      <c r="C67" s="44">
        <v>22</v>
      </c>
      <c r="D67" s="45">
        <f>C67/C68</f>
        <v>7.5085324232081918E-2</v>
      </c>
      <c r="E67" s="7">
        <v>3</v>
      </c>
      <c r="F67" s="24">
        <f>E67/$E$68</f>
        <v>0.1</v>
      </c>
      <c r="G67" s="44">
        <v>3</v>
      </c>
      <c r="H67" s="46">
        <f>G67/$G$68</f>
        <v>8.8235294117647065E-2</v>
      </c>
      <c r="J67" s="3" t="s">
        <v>31</v>
      </c>
      <c r="K67" s="7">
        <v>0</v>
      </c>
      <c r="L67" s="11">
        <f t="shared" ref="L67:L84" si="55">K67/$K$85</f>
        <v>0</v>
      </c>
      <c r="M67" s="7">
        <v>0</v>
      </c>
      <c r="N67" s="11">
        <f t="shared" si="45"/>
        <v>0</v>
      </c>
      <c r="O67" s="59">
        <v>0</v>
      </c>
      <c r="P67" s="25">
        <f t="shared" si="46"/>
        <v>0</v>
      </c>
      <c r="Q67" s="34"/>
      <c r="R67" s="3" t="s">
        <v>31</v>
      </c>
      <c r="S67" s="7">
        <v>0</v>
      </c>
      <c r="T67" s="11">
        <f t="shared" si="47"/>
        <v>0</v>
      </c>
      <c r="U67" s="7">
        <v>0</v>
      </c>
      <c r="V67" s="11">
        <f t="shared" si="48"/>
        <v>0</v>
      </c>
      <c r="W67" s="7">
        <v>0</v>
      </c>
      <c r="X67" s="25">
        <f t="shared" si="49"/>
        <v>0</v>
      </c>
      <c r="Y67" s="34"/>
      <c r="AA67" s="3" t="s">
        <v>31</v>
      </c>
      <c r="AB67" s="7">
        <v>0</v>
      </c>
      <c r="AC67" s="11">
        <f>AB67/$AB$85</f>
        <v>0</v>
      </c>
      <c r="AD67" s="7">
        <v>0</v>
      </c>
      <c r="AE67" s="11">
        <f t="shared" si="50"/>
        <v>0</v>
      </c>
      <c r="AF67" s="7">
        <v>0</v>
      </c>
      <c r="AG67" s="13">
        <f t="shared" si="51"/>
        <v>0</v>
      </c>
      <c r="AI67" s="3" t="s">
        <v>31</v>
      </c>
      <c r="AJ67" s="7">
        <v>0</v>
      </c>
      <c r="AK67" s="11">
        <f t="shared" si="52"/>
        <v>0</v>
      </c>
      <c r="AL67" s="7">
        <v>0</v>
      </c>
      <c r="AM67" s="11">
        <f t="shared" si="53"/>
        <v>0</v>
      </c>
      <c r="AN67" s="7">
        <v>0</v>
      </c>
      <c r="AO67" s="13">
        <f t="shared" si="54"/>
        <v>0</v>
      </c>
    </row>
    <row r="68" spans="2:77" ht="15" thickBot="1" x14ac:dyDescent="0.35">
      <c r="B68" s="47" t="s">
        <v>25</v>
      </c>
      <c r="C68" s="109">
        <f>SUM(C51:C67)</f>
        <v>293</v>
      </c>
      <c r="D68" s="110"/>
      <c r="E68" s="109">
        <f>SUM(E51:E67)</f>
        <v>30</v>
      </c>
      <c r="F68" s="110"/>
      <c r="G68" s="109">
        <f>SUM(G51:G67)</f>
        <v>34</v>
      </c>
      <c r="H68" s="110"/>
      <c r="J68" s="3" t="s">
        <v>32</v>
      </c>
      <c r="K68" s="31">
        <v>0</v>
      </c>
      <c r="L68" s="11">
        <f t="shared" si="55"/>
        <v>0</v>
      </c>
      <c r="M68" s="31">
        <v>0</v>
      </c>
      <c r="N68" s="11">
        <f t="shared" si="45"/>
        <v>0</v>
      </c>
      <c r="O68" s="67">
        <v>0</v>
      </c>
      <c r="P68" s="25">
        <f t="shared" si="46"/>
        <v>0</v>
      </c>
      <c r="Q68" s="35"/>
      <c r="R68" s="3" t="s">
        <v>32</v>
      </c>
      <c r="S68" s="31">
        <v>0</v>
      </c>
      <c r="T68" s="11">
        <f t="shared" si="47"/>
        <v>0</v>
      </c>
      <c r="U68" s="31">
        <v>0</v>
      </c>
      <c r="V68" s="11">
        <f t="shared" si="48"/>
        <v>0</v>
      </c>
      <c r="W68" s="31">
        <v>3</v>
      </c>
      <c r="X68" s="25">
        <f t="shared" si="49"/>
        <v>0.375</v>
      </c>
      <c r="Y68" s="35"/>
      <c r="AA68" s="3" t="s">
        <v>32</v>
      </c>
      <c r="AB68" s="31">
        <v>0</v>
      </c>
      <c r="AC68" s="11">
        <f t="shared" ref="AC68:AC82" si="56">AB68/$AB$85</f>
        <v>0</v>
      </c>
      <c r="AD68" s="31">
        <v>0</v>
      </c>
      <c r="AE68" s="11">
        <f t="shared" si="50"/>
        <v>0</v>
      </c>
      <c r="AF68" s="31">
        <v>0</v>
      </c>
      <c r="AG68" s="13">
        <f t="shared" si="51"/>
        <v>0</v>
      </c>
      <c r="AI68" s="3" t="s">
        <v>32</v>
      </c>
      <c r="AJ68" s="31">
        <v>0</v>
      </c>
      <c r="AK68" s="11">
        <f t="shared" si="52"/>
        <v>0</v>
      </c>
      <c r="AL68" s="31">
        <v>0</v>
      </c>
      <c r="AM68" s="11">
        <f t="shared" si="53"/>
        <v>0</v>
      </c>
      <c r="AN68" s="31">
        <v>0</v>
      </c>
      <c r="AO68" s="13">
        <f t="shared" si="54"/>
        <v>0</v>
      </c>
    </row>
    <row r="69" spans="2:77" ht="15" thickBot="1" x14ac:dyDescent="0.35">
      <c r="B69" s="32" t="s">
        <v>26</v>
      </c>
      <c r="C69" s="112">
        <f>C68/($C$68+$E$68+$G$68)</f>
        <v>0.82072829131652658</v>
      </c>
      <c r="D69" s="113"/>
      <c r="E69" s="112">
        <f>E68/($C$68+$E$68+$G$68)</f>
        <v>8.4033613445378158E-2</v>
      </c>
      <c r="F69" s="113"/>
      <c r="G69" s="112">
        <f>G68/($C$68+$E$68+$G$68)</f>
        <v>9.5238095238095233E-2</v>
      </c>
      <c r="H69" s="113"/>
      <c r="J69" s="3" t="s">
        <v>33</v>
      </c>
      <c r="K69" s="7">
        <v>0</v>
      </c>
      <c r="L69" s="11">
        <f t="shared" si="55"/>
        <v>0</v>
      </c>
      <c r="M69" s="7">
        <v>0</v>
      </c>
      <c r="N69" s="11">
        <f t="shared" si="45"/>
        <v>0</v>
      </c>
      <c r="O69" s="59">
        <v>0</v>
      </c>
      <c r="P69" s="25">
        <f t="shared" si="46"/>
        <v>0</v>
      </c>
      <c r="Q69" s="34"/>
      <c r="R69" s="3" t="s">
        <v>33</v>
      </c>
      <c r="S69" s="7">
        <v>0</v>
      </c>
      <c r="T69" s="11">
        <f t="shared" si="47"/>
        <v>0</v>
      </c>
      <c r="U69" s="7">
        <v>0</v>
      </c>
      <c r="V69" s="11">
        <f t="shared" si="48"/>
        <v>0</v>
      </c>
      <c r="W69" s="7">
        <v>0</v>
      </c>
      <c r="X69" s="25">
        <f t="shared" si="49"/>
        <v>0</v>
      </c>
      <c r="Y69" s="34"/>
      <c r="AA69" s="3" t="s">
        <v>33</v>
      </c>
      <c r="AB69" s="7">
        <v>0</v>
      </c>
      <c r="AC69" s="11">
        <f t="shared" si="56"/>
        <v>0</v>
      </c>
      <c r="AD69" s="7">
        <v>0</v>
      </c>
      <c r="AE69" s="11">
        <f t="shared" si="50"/>
        <v>0</v>
      </c>
      <c r="AF69" s="7">
        <v>0</v>
      </c>
      <c r="AG69" s="13">
        <f t="shared" si="51"/>
        <v>0</v>
      </c>
      <c r="AI69" s="3" t="s">
        <v>33</v>
      </c>
      <c r="AJ69" s="7">
        <v>0</v>
      </c>
      <c r="AK69" s="11">
        <f t="shared" si="52"/>
        <v>0</v>
      </c>
      <c r="AL69" s="7">
        <v>0</v>
      </c>
      <c r="AM69" s="11">
        <f t="shared" si="53"/>
        <v>0</v>
      </c>
      <c r="AN69" s="7">
        <v>0</v>
      </c>
      <c r="AO69" s="13">
        <f t="shared" si="54"/>
        <v>0</v>
      </c>
    </row>
    <row r="70" spans="2:77" ht="15" thickBot="1" x14ac:dyDescent="0.35">
      <c r="B70" s="48" t="s">
        <v>23</v>
      </c>
      <c r="C70" s="114">
        <v>0.85</v>
      </c>
      <c r="D70" s="115"/>
      <c r="E70" s="114">
        <v>0.1</v>
      </c>
      <c r="F70" s="115"/>
      <c r="G70" s="114">
        <v>0.05</v>
      </c>
      <c r="H70" s="115"/>
      <c r="J70" s="3" t="s">
        <v>18</v>
      </c>
      <c r="K70" s="7">
        <v>0</v>
      </c>
      <c r="L70" s="11">
        <f t="shared" si="55"/>
        <v>0</v>
      </c>
      <c r="M70" s="7">
        <v>0</v>
      </c>
      <c r="N70" s="11">
        <f t="shared" si="45"/>
        <v>0</v>
      </c>
      <c r="O70" s="59">
        <v>0</v>
      </c>
      <c r="P70" s="25">
        <f t="shared" si="46"/>
        <v>0</v>
      </c>
      <c r="Q70" s="34"/>
      <c r="R70" s="3" t="s">
        <v>18</v>
      </c>
      <c r="S70" s="7">
        <v>0</v>
      </c>
      <c r="T70" s="11">
        <f t="shared" si="47"/>
        <v>0</v>
      </c>
      <c r="U70" s="7">
        <v>0</v>
      </c>
      <c r="V70" s="11">
        <f t="shared" si="48"/>
        <v>0</v>
      </c>
      <c r="W70" s="7">
        <v>0</v>
      </c>
      <c r="X70" s="25">
        <f t="shared" si="49"/>
        <v>0</v>
      </c>
      <c r="Y70" s="34"/>
      <c r="AA70" s="3" t="s">
        <v>18</v>
      </c>
      <c r="AB70" s="7">
        <v>0</v>
      </c>
      <c r="AC70" s="11">
        <f t="shared" si="56"/>
        <v>0</v>
      </c>
      <c r="AD70" s="7">
        <v>0</v>
      </c>
      <c r="AE70" s="11">
        <f t="shared" si="50"/>
        <v>0</v>
      </c>
      <c r="AF70" s="7">
        <v>0</v>
      </c>
      <c r="AG70" s="13">
        <f t="shared" si="51"/>
        <v>0</v>
      </c>
      <c r="AI70" s="3" t="s">
        <v>18</v>
      </c>
      <c r="AJ70" s="7">
        <v>0</v>
      </c>
      <c r="AK70" s="11">
        <f t="shared" si="52"/>
        <v>0</v>
      </c>
      <c r="AL70" s="7">
        <v>0</v>
      </c>
      <c r="AM70" s="11">
        <f t="shared" si="53"/>
        <v>0</v>
      </c>
      <c r="AN70" s="7">
        <v>0</v>
      </c>
      <c r="AO70" s="13">
        <f t="shared" si="54"/>
        <v>0</v>
      </c>
    </row>
    <row r="71" spans="2:77" ht="15" thickBot="1" x14ac:dyDescent="0.35">
      <c r="B71" s="49" t="s">
        <v>24</v>
      </c>
      <c r="C71" s="102">
        <f>C69-C70</f>
        <v>-2.9271708683473396E-2</v>
      </c>
      <c r="D71" s="103"/>
      <c r="E71" s="102">
        <f>E70-E69</f>
        <v>1.5966386554621848E-2</v>
      </c>
      <c r="F71" s="103"/>
      <c r="G71" s="102">
        <f>G70-G69</f>
        <v>-4.523809523809523E-2</v>
      </c>
      <c r="H71" s="103"/>
      <c r="J71" s="3" t="s">
        <v>62</v>
      </c>
      <c r="K71" s="7">
        <v>561</v>
      </c>
      <c r="L71" s="11">
        <f t="shared" si="55"/>
        <v>0.65156794425087106</v>
      </c>
      <c r="M71" s="7">
        <v>3</v>
      </c>
      <c r="N71" s="11">
        <f t="shared" si="45"/>
        <v>0.375</v>
      </c>
      <c r="O71" s="59">
        <v>9</v>
      </c>
      <c r="P71" s="25">
        <f t="shared" si="46"/>
        <v>0.5</v>
      </c>
      <c r="Q71" s="34"/>
      <c r="R71" s="3" t="s">
        <v>34</v>
      </c>
      <c r="S71" s="7">
        <v>0</v>
      </c>
      <c r="T71" s="11">
        <f t="shared" si="47"/>
        <v>0</v>
      </c>
      <c r="U71" s="7">
        <v>0</v>
      </c>
      <c r="V71" s="11">
        <f t="shared" si="48"/>
        <v>0</v>
      </c>
      <c r="W71" s="7">
        <v>0</v>
      </c>
      <c r="X71" s="25">
        <f t="shared" si="49"/>
        <v>0</v>
      </c>
      <c r="Y71" s="34"/>
      <c r="AA71" s="3" t="s">
        <v>34</v>
      </c>
      <c r="AB71" s="7">
        <v>0</v>
      </c>
      <c r="AC71" s="11">
        <f t="shared" si="56"/>
        <v>0</v>
      </c>
      <c r="AD71" s="7">
        <v>0</v>
      </c>
      <c r="AE71" s="11">
        <f t="shared" si="50"/>
        <v>0</v>
      </c>
      <c r="AF71" s="7">
        <v>0</v>
      </c>
      <c r="AG71" s="13">
        <f t="shared" si="51"/>
        <v>0</v>
      </c>
      <c r="AI71" s="3" t="s">
        <v>76</v>
      </c>
      <c r="AJ71" s="7">
        <v>0</v>
      </c>
      <c r="AK71" s="11">
        <f t="shared" si="52"/>
        <v>0</v>
      </c>
      <c r="AL71" s="7">
        <v>1</v>
      </c>
      <c r="AM71" s="11">
        <f t="shared" si="53"/>
        <v>0.1</v>
      </c>
      <c r="AN71" s="7">
        <v>0</v>
      </c>
      <c r="AO71" s="13">
        <f t="shared" si="54"/>
        <v>0</v>
      </c>
    </row>
    <row r="72" spans="2:77" x14ac:dyDescent="0.3">
      <c r="B72" s="50"/>
      <c r="C72" s="29"/>
      <c r="D72" s="34"/>
      <c r="E72" s="29"/>
      <c r="F72" s="36"/>
      <c r="G72" s="29"/>
      <c r="H72" s="36"/>
      <c r="J72" s="3" t="s">
        <v>35</v>
      </c>
      <c r="K72" s="7">
        <v>0</v>
      </c>
      <c r="L72" s="11">
        <f t="shared" si="55"/>
        <v>0</v>
      </c>
      <c r="M72" s="7">
        <v>0</v>
      </c>
      <c r="N72" s="11">
        <f t="shared" si="45"/>
        <v>0</v>
      </c>
      <c r="O72" s="59">
        <v>0</v>
      </c>
      <c r="P72" s="25">
        <f t="shared" si="46"/>
        <v>0</v>
      </c>
      <c r="Q72" s="34"/>
      <c r="R72" s="3" t="s">
        <v>62</v>
      </c>
      <c r="S72" s="7">
        <v>374</v>
      </c>
      <c r="T72" s="11">
        <f t="shared" si="47"/>
        <v>0.65043478260869569</v>
      </c>
      <c r="U72" s="66">
        <v>17</v>
      </c>
      <c r="V72" s="11">
        <f t="shared" si="48"/>
        <v>0.80952380952380953</v>
      </c>
      <c r="W72" s="7">
        <v>2</v>
      </c>
      <c r="X72" s="25">
        <f t="shared" si="49"/>
        <v>0.25</v>
      </c>
      <c r="Y72" s="34"/>
      <c r="AA72" s="3" t="s">
        <v>62</v>
      </c>
      <c r="AB72" s="7">
        <v>87</v>
      </c>
      <c r="AC72" s="11">
        <f t="shared" si="56"/>
        <v>0.65413533834586468</v>
      </c>
      <c r="AD72" s="7">
        <v>10</v>
      </c>
      <c r="AE72" s="11">
        <f t="shared" si="50"/>
        <v>0.83333333333333337</v>
      </c>
      <c r="AF72" s="7">
        <v>19</v>
      </c>
      <c r="AG72" s="13">
        <f t="shared" si="51"/>
        <v>0.54285714285714282</v>
      </c>
      <c r="AI72" s="3" t="s">
        <v>62</v>
      </c>
      <c r="AJ72" s="7">
        <v>498</v>
      </c>
      <c r="AK72" s="11">
        <f t="shared" si="52"/>
        <v>0.65098039215686276</v>
      </c>
      <c r="AL72" s="7">
        <v>1</v>
      </c>
      <c r="AM72" s="11">
        <f t="shared" si="53"/>
        <v>0.1</v>
      </c>
      <c r="AN72" s="7">
        <v>0</v>
      </c>
      <c r="AO72" s="13">
        <f t="shared" si="54"/>
        <v>0</v>
      </c>
    </row>
    <row r="73" spans="2:77" x14ac:dyDescent="0.3">
      <c r="B73" s="33"/>
      <c r="C73" s="29"/>
      <c r="D73" s="34"/>
      <c r="E73" s="29"/>
      <c r="F73" s="36"/>
      <c r="G73" s="29"/>
      <c r="H73" s="36"/>
      <c r="J73" s="3" t="s">
        <v>20</v>
      </c>
      <c r="K73" s="7">
        <v>0</v>
      </c>
      <c r="L73" s="11">
        <f t="shared" si="55"/>
        <v>0</v>
      </c>
      <c r="M73" s="7">
        <v>0</v>
      </c>
      <c r="N73" s="11">
        <f t="shared" si="45"/>
        <v>0</v>
      </c>
      <c r="O73" s="59">
        <v>0</v>
      </c>
      <c r="P73" s="25">
        <f t="shared" si="46"/>
        <v>0</v>
      </c>
      <c r="Q73" s="34"/>
      <c r="R73" s="3" t="s">
        <v>20</v>
      </c>
      <c r="S73" s="7">
        <v>0</v>
      </c>
      <c r="T73" s="11">
        <f t="shared" si="47"/>
        <v>0</v>
      </c>
      <c r="U73" s="7">
        <v>0</v>
      </c>
      <c r="V73" s="11">
        <f t="shared" si="48"/>
        <v>0</v>
      </c>
      <c r="W73" s="7">
        <v>0</v>
      </c>
      <c r="X73" s="25">
        <f t="shared" si="49"/>
        <v>0</v>
      </c>
      <c r="Y73" s="34"/>
      <c r="AA73" s="3" t="s">
        <v>20</v>
      </c>
      <c r="AB73" s="7">
        <v>0</v>
      </c>
      <c r="AC73" s="11">
        <f t="shared" si="56"/>
        <v>0</v>
      </c>
      <c r="AD73" s="7">
        <v>0</v>
      </c>
      <c r="AE73" s="11">
        <f t="shared" si="50"/>
        <v>0</v>
      </c>
      <c r="AF73" s="7">
        <v>0</v>
      </c>
      <c r="AG73" s="13">
        <f t="shared" si="51"/>
        <v>0</v>
      </c>
      <c r="AI73" s="3" t="s">
        <v>20</v>
      </c>
      <c r="AJ73" s="7">
        <v>0</v>
      </c>
      <c r="AK73" s="11">
        <f t="shared" si="52"/>
        <v>0</v>
      </c>
      <c r="AL73" s="7">
        <v>0</v>
      </c>
      <c r="AM73" s="11">
        <f t="shared" si="53"/>
        <v>0</v>
      </c>
      <c r="AN73" s="7">
        <v>0</v>
      </c>
      <c r="AO73" s="13">
        <f t="shared" si="54"/>
        <v>0</v>
      </c>
    </row>
    <row r="74" spans="2:77" x14ac:dyDescent="0.3">
      <c r="B74" s="33"/>
      <c r="C74" s="29"/>
      <c r="D74" s="34"/>
      <c r="E74" s="29"/>
      <c r="F74" s="36"/>
      <c r="G74" s="29"/>
      <c r="H74" s="36"/>
      <c r="J74" s="3" t="s">
        <v>19</v>
      </c>
      <c r="K74" s="7">
        <v>0</v>
      </c>
      <c r="L74" s="11">
        <f t="shared" si="55"/>
        <v>0</v>
      </c>
      <c r="M74" s="7">
        <v>0</v>
      </c>
      <c r="N74" s="11">
        <f t="shared" si="45"/>
        <v>0</v>
      </c>
      <c r="O74" s="59">
        <v>0</v>
      </c>
      <c r="P74" s="25">
        <f t="shared" si="46"/>
        <v>0</v>
      </c>
      <c r="Q74" s="34"/>
      <c r="R74" s="3" t="s">
        <v>19</v>
      </c>
      <c r="S74" s="7">
        <v>0</v>
      </c>
      <c r="T74" s="11">
        <f t="shared" si="47"/>
        <v>0</v>
      </c>
      <c r="U74" s="7">
        <v>0</v>
      </c>
      <c r="V74" s="11">
        <f t="shared" si="48"/>
        <v>0</v>
      </c>
      <c r="W74" s="7">
        <v>1</v>
      </c>
      <c r="X74" s="25">
        <f t="shared" si="49"/>
        <v>0.125</v>
      </c>
      <c r="Y74" s="34"/>
      <c r="AA74" s="3" t="s">
        <v>19</v>
      </c>
      <c r="AB74" s="7">
        <v>0</v>
      </c>
      <c r="AC74" s="11">
        <f t="shared" si="56"/>
        <v>0</v>
      </c>
      <c r="AD74" s="7">
        <v>0</v>
      </c>
      <c r="AE74" s="11">
        <f t="shared" si="50"/>
        <v>0</v>
      </c>
      <c r="AF74" s="7">
        <v>0</v>
      </c>
      <c r="AG74" s="13">
        <f t="shared" si="51"/>
        <v>0</v>
      </c>
      <c r="AI74" s="3" t="s">
        <v>19</v>
      </c>
      <c r="AJ74" s="7">
        <v>0</v>
      </c>
      <c r="AK74" s="11">
        <f t="shared" si="52"/>
        <v>0</v>
      </c>
      <c r="AL74" s="7">
        <v>0</v>
      </c>
      <c r="AM74" s="11">
        <f t="shared" si="53"/>
        <v>0</v>
      </c>
      <c r="AN74" s="7">
        <v>0</v>
      </c>
      <c r="AO74" s="13">
        <f t="shared" si="54"/>
        <v>0</v>
      </c>
    </row>
    <row r="75" spans="2:77" x14ac:dyDescent="0.3">
      <c r="B75" s="33"/>
      <c r="C75" s="29"/>
      <c r="D75" s="34"/>
      <c r="E75" s="29"/>
      <c r="F75" s="36"/>
      <c r="G75" s="29"/>
      <c r="H75" s="36"/>
      <c r="J75" s="3" t="s">
        <v>15</v>
      </c>
      <c r="K75" s="7">
        <v>0</v>
      </c>
      <c r="L75" s="11">
        <f t="shared" si="55"/>
        <v>0</v>
      </c>
      <c r="M75" s="7">
        <v>0</v>
      </c>
      <c r="N75" s="11">
        <f t="shared" si="45"/>
        <v>0</v>
      </c>
      <c r="O75" s="59">
        <v>0</v>
      </c>
      <c r="P75" s="25">
        <f t="shared" si="46"/>
        <v>0</v>
      </c>
      <c r="Q75" s="34"/>
      <c r="R75" s="3" t="s">
        <v>15</v>
      </c>
      <c r="S75" s="7">
        <v>0</v>
      </c>
      <c r="T75" s="11">
        <f t="shared" si="47"/>
        <v>0</v>
      </c>
      <c r="U75" s="7">
        <v>0</v>
      </c>
      <c r="V75" s="11">
        <f t="shared" si="48"/>
        <v>0</v>
      </c>
      <c r="W75" s="7">
        <v>0</v>
      </c>
      <c r="X75" s="25">
        <f t="shared" si="49"/>
        <v>0</v>
      </c>
      <c r="Y75" s="34"/>
      <c r="AA75" s="3" t="s">
        <v>15</v>
      </c>
      <c r="AB75" s="7">
        <v>0</v>
      </c>
      <c r="AC75" s="11">
        <f t="shared" si="56"/>
        <v>0</v>
      </c>
      <c r="AD75" s="7">
        <v>0</v>
      </c>
      <c r="AE75" s="11">
        <f t="shared" si="50"/>
        <v>0</v>
      </c>
      <c r="AF75" s="7">
        <v>0</v>
      </c>
      <c r="AG75" s="13">
        <f t="shared" si="51"/>
        <v>0</v>
      </c>
      <c r="AI75" s="3" t="s">
        <v>15</v>
      </c>
      <c r="AJ75" s="7">
        <v>0</v>
      </c>
      <c r="AK75" s="11">
        <f t="shared" si="52"/>
        <v>0</v>
      </c>
      <c r="AL75" s="7">
        <v>0</v>
      </c>
      <c r="AM75" s="11">
        <f t="shared" si="53"/>
        <v>0</v>
      </c>
      <c r="AN75" s="7">
        <v>0</v>
      </c>
      <c r="AO75" s="13">
        <f t="shared" si="54"/>
        <v>0</v>
      </c>
    </row>
    <row r="76" spans="2:77" x14ac:dyDescent="0.3">
      <c r="B76" s="33"/>
      <c r="C76" s="29"/>
      <c r="D76" s="34"/>
      <c r="E76" s="29"/>
      <c r="F76" s="36"/>
      <c r="G76" s="29"/>
      <c r="H76" s="36"/>
      <c r="J76" s="3" t="s">
        <v>36</v>
      </c>
      <c r="K76" s="7">
        <v>0</v>
      </c>
      <c r="L76" s="11">
        <f t="shared" si="55"/>
        <v>0</v>
      </c>
      <c r="M76" s="7">
        <v>0</v>
      </c>
      <c r="N76" s="11">
        <f t="shared" si="45"/>
        <v>0</v>
      </c>
      <c r="O76" s="59">
        <v>0</v>
      </c>
      <c r="P76" s="25">
        <f t="shared" si="46"/>
        <v>0</v>
      </c>
      <c r="Q76" s="34"/>
      <c r="R76" s="3" t="s">
        <v>36</v>
      </c>
      <c r="S76" s="7">
        <v>0</v>
      </c>
      <c r="T76" s="11">
        <f t="shared" si="47"/>
        <v>0</v>
      </c>
      <c r="U76" s="7">
        <v>0</v>
      </c>
      <c r="V76" s="11">
        <f t="shared" si="48"/>
        <v>0</v>
      </c>
      <c r="W76" s="7">
        <v>0</v>
      </c>
      <c r="X76" s="25">
        <f t="shared" si="49"/>
        <v>0</v>
      </c>
      <c r="Y76" s="34"/>
      <c r="AA76" s="3" t="s">
        <v>36</v>
      </c>
      <c r="AB76" s="7">
        <v>0</v>
      </c>
      <c r="AC76" s="11">
        <f t="shared" si="56"/>
        <v>0</v>
      </c>
      <c r="AD76" s="7">
        <v>0</v>
      </c>
      <c r="AE76" s="11">
        <f t="shared" si="50"/>
        <v>0</v>
      </c>
      <c r="AF76" s="7">
        <v>0</v>
      </c>
      <c r="AG76" s="13">
        <f t="shared" si="51"/>
        <v>0</v>
      </c>
      <c r="AI76" s="3" t="s">
        <v>36</v>
      </c>
      <c r="AJ76" s="7">
        <v>0</v>
      </c>
      <c r="AK76" s="11">
        <f t="shared" si="52"/>
        <v>0</v>
      </c>
      <c r="AL76" s="7">
        <v>0</v>
      </c>
      <c r="AM76" s="11">
        <f t="shared" si="53"/>
        <v>0</v>
      </c>
      <c r="AN76" s="7">
        <v>0</v>
      </c>
      <c r="AO76" s="13">
        <f t="shared" si="54"/>
        <v>0</v>
      </c>
    </row>
    <row r="77" spans="2:77" x14ac:dyDescent="0.3">
      <c r="B77" s="33"/>
      <c r="C77" s="29"/>
      <c r="D77" s="34"/>
      <c r="E77" s="29"/>
      <c r="F77" s="36"/>
      <c r="G77" s="29"/>
      <c r="H77" s="36"/>
      <c r="J77" s="3" t="s">
        <v>37</v>
      </c>
      <c r="K77" s="7">
        <v>0</v>
      </c>
      <c r="L77" s="11">
        <f t="shared" si="55"/>
        <v>0</v>
      </c>
      <c r="M77" s="7">
        <v>0</v>
      </c>
      <c r="N77" s="11">
        <f t="shared" si="45"/>
        <v>0</v>
      </c>
      <c r="O77" s="59">
        <v>0</v>
      </c>
      <c r="P77" s="25">
        <f t="shared" si="46"/>
        <v>0</v>
      </c>
      <c r="Q77" s="34"/>
      <c r="R77" s="3" t="s">
        <v>37</v>
      </c>
      <c r="S77" s="7">
        <v>0</v>
      </c>
      <c r="T77" s="11">
        <f t="shared" si="47"/>
        <v>0</v>
      </c>
      <c r="U77" s="7">
        <v>0</v>
      </c>
      <c r="V77" s="11">
        <f t="shared" si="48"/>
        <v>0</v>
      </c>
      <c r="W77" s="7">
        <v>0</v>
      </c>
      <c r="X77" s="25">
        <f t="shared" si="49"/>
        <v>0</v>
      </c>
      <c r="Y77" s="34"/>
      <c r="AA77" s="3" t="s">
        <v>37</v>
      </c>
      <c r="AB77" s="7">
        <v>0</v>
      </c>
      <c r="AC77" s="11">
        <f t="shared" si="56"/>
        <v>0</v>
      </c>
      <c r="AD77" s="7">
        <v>0</v>
      </c>
      <c r="AE77" s="11">
        <f t="shared" si="50"/>
        <v>0</v>
      </c>
      <c r="AF77" s="7">
        <v>0</v>
      </c>
      <c r="AG77" s="13">
        <f t="shared" si="51"/>
        <v>0</v>
      </c>
      <c r="AI77" s="3" t="s">
        <v>37</v>
      </c>
      <c r="AJ77" s="7">
        <v>0</v>
      </c>
      <c r="AK77" s="11">
        <f t="shared" si="52"/>
        <v>0</v>
      </c>
      <c r="AL77" s="7">
        <v>0</v>
      </c>
      <c r="AM77" s="11">
        <f t="shared" si="53"/>
        <v>0</v>
      </c>
      <c r="AN77" s="7">
        <v>0</v>
      </c>
      <c r="AO77" s="13">
        <f t="shared" si="54"/>
        <v>0</v>
      </c>
    </row>
    <row r="78" spans="2:77" x14ac:dyDescent="0.3">
      <c r="B78" s="33"/>
      <c r="C78" s="29"/>
      <c r="D78" s="34"/>
      <c r="E78" s="29"/>
      <c r="F78" s="36"/>
      <c r="G78" s="29"/>
      <c r="H78" s="36"/>
      <c r="J78" s="3" t="s">
        <v>38</v>
      </c>
      <c r="K78" s="7">
        <v>0</v>
      </c>
      <c r="L78" s="11">
        <f t="shared" si="55"/>
        <v>0</v>
      </c>
      <c r="M78" s="7">
        <v>0</v>
      </c>
      <c r="N78" s="11">
        <f t="shared" si="45"/>
        <v>0</v>
      </c>
      <c r="O78" s="59">
        <v>0</v>
      </c>
      <c r="P78" s="25">
        <f t="shared" si="46"/>
        <v>0</v>
      </c>
      <c r="Q78" s="34"/>
      <c r="R78" s="3" t="s">
        <v>38</v>
      </c>
      <c r="S78" s="7">
        <v>0</v>
      </c>
      <c r="T78" s="11">
        <f t="shared" si="47"/>
        <v>0</v>
      </c>
      <c r="U78" s="7">
        <v>0</v>
      </c>
      <c r="V78" s="11">
        <f t="shared" si="48"/>
        <v>0</v>
      </c>
      <c r="W78" s="7">
        <v>0</v>
      </c>
      <c r="X78" s="25">
        <f t="shared" si="49"/>
        <v>0</v>
      </c>
      <c r="Y78" s="34"/>
      <c r="AA78" s="3" t="s">
        <v>38</v>
      </c>
      <c r="AB78" s="7">
        <v>0</v>
      </c>
      <c r="AC78" s="11">
        <f t="shared" si="56"/>
        <v>0</v>
      </c>
      <c r="AD78" s="7">
        <v>0</v>
      </c>
      <c r="AE78" s="11">
        <f t="shared" si="50"/>
        <v>0</v>
      </c>
      <c r="AF78" s="7">
        <v>0</v>
      </c>
      <c r="AG78" s="13">
        <f t="shared" si="51"/>
        <v>0</v>
      </c>
      <c r="AI78" s="3" t="s">
        <v>77</v>
      </c>
      <c r="AJ78" s="7">
        <v>0</v>
      </c>
      <c r="AK78" s="11">
        <f t="shared" si="52"/>
        <v>0</v>
      </c>
      <c r="AL78" s="7">
        <v>2</v>
      </c>
      <c r="AM78" s="11">
        <f t="shared" si="53"/>
        <v>0.2</v>
      </c>
      <c r="AN78" s="7">
        <v>0</v>
      </c>
      <c r="AO78" s="13">
        <f t="shared" si="54"/>
        <v>0</v>
      </c>
    </row>
    <row r="79" spans="2:77" x14ac:dyDescent="0.3">
      <c r="B79" s="33"/>
      <c r="C79" s="29"/>
      <c r="D79" s="34"/>
      <c r="E79" s="29"/>
      <c r="F79" s="36"/>
      <c r="G79" s="29"/>
      <c r="H79" s="36"/>
      <c r="J79" s="3" t="s">
        <v>39</v>
      </c>
      <c r="K79" s="31">
        <v>0</v>
      </c>
      <c r="L79" s="11">
        <f t="shared" si="55"/>
        <v>0</v>
      </c>
      <c r="M79" s="31">
        <v>0</v>
      </c>
      <c r="N79" s="11">
        <f t="shared" si="45"/>
        <v>0</v>
      </c>
      <c r="O79" s="67">
        <v>0</v>
      </c>
      <c r="P79" s="25">
        <f t="shared" si="46"/>
        <v>0</v>
      </c>
      <c r="Q79" s="34"/>
      <c r="R79" s="3" t="s">
        <v>39</v>
      </c>
      <c r="S79" s="31">
        <v>0</v>
      </c>
      <c r="T79" s="11">
        <f t="shared" si="47"/>
        <v>0</v>
      </c>
      <c r="U79" s="31">
        <v>0</v>
      </c>
      <c r="V79" s="11">
        <f t="shared" si="48"/>
        <v>0</v>
      </c>
      <c r="W79" s="31">
        <v>0</v>
      </c>
      <c r="X79" s="25">
        <f t="shared" si="49"/>
        <v>0</v>
      </c>
      <c r="Y79" s="34"/>
      <c r="AA79" s="3" t="s">
        <v>39</v>
      </c>
      <c r="AB79" s="31">
        <v>0</v>
      </c>
      <c r="AC79" s="11">
        <f t="shared" si="56"/>
        <v>0</v>
      </c>
      <c r="AD79" s="31">
        <v>0</v>
      </c>
      <c r="AE79" s="11">
        <f t="shared" si="50"/>
        <v>0</v>
      </c>
      <c r="AF79" s="31">
        <v>0</v>
      </c>
      <c r="AG79" s="13">
        <f t="shared" si="51"/>
        <v>0</v>
      </c>
      <c r="AI79" s="3" t="s">
        <v>39</v>
      </c>
      <c r="AJ79" s="31">
        <v>0</v>
      </c>
      <c r="AK79" s="11">
        <f t="shared" si="52"/>
        <v>0</v>
      </c>
      <c r="AL79" s="31">
        <v>0</v>
      </c>
      <c r="AM79" s="11">
        <f t="shared" si="53"/>
        <v>0</v>
      </c>
      <c r="AN79" s="31">
        <v>0</v>
      </c>
      <c r="AO79" s="13">
        <f t="shared" si="54"/>
        <v>0</v>
      </c>
    </row>
    <row r="80" spans="2:77" x14ac:dyDescent="0.3">
      <c r="B80" s="33"/>
      <c r="C80" s="29"/>
      <c r="D80" s="34"/>
      <c r="E80" s="29"/>
      <c r="F80" s="36"/>
      <c r="G80" s="29"/>
      <c r="H80" s="36"/>
      <c r="J80" s="3" t="s">
        <v>40</v>
      </c>
      <c r="K80" s="7">
        <v>0</v>
      </c>
      <c r="L80" s="11">
        <f t="shared" si="55"/>
        <v>0</v>
      </c>
      <c r="M80" s="7">
        <v>0</v>
      </c>
      <c r="N80" s="11">
        <f t="shared" si="45"/>
        <v>0</v>
      </c>
      <c r="O80" s="59">
        <v>0</v>
      </c>
      <c r="P80" s="25">
        <f t="shared" si="46"/>
        <v>0</v>
      </c>
      <c r="Q80" s="34"/>
      <c r="R80" s="3" t="s">
        <v>40</v>
      </c>
      <c r="S80" s="7">
        <v>0</v>
      </c>
      <c r="T80" s="11">
        <f t="shared" si="47"/>
        <v>0</v>
      </c>
      <c r="U80" s="7">
        <v>0</v>
      </c>
      <c r="V80" s="11">
        <f t="shared" si="48"/>
        <v>0</v>
      </c>
      <c r="W80" s="7">
        <v>0</v>
      </c>
      <c r="X80" s="25">
        <f t="shared" si="49"/>
        <v>0</v>
      </c>
      <c r="Y80" s="34"/>
      <c r="AA80" s="3" t="s">
        <v>40</v>
      </c>
      <c r="AB80" s="7">
        <v>0</v>
      </c>
      <c r="AC80" s="11">
        <f t="shared" si="56"/>
        <v>0</v>
      </c>
      <c r="AD80" s="7">
        <v>0</v>
      </c>
      <c r="AE80" s="11">
        <f t="shared" si="50"/>
        <v>0</v>
      </c>
      <c r="AF80" s="7">
        <v>0</v>
      </c>
      <c r="AG80" s="13">
        <f t="shared" si="51"/>
        <v>0</v>
      </c>
      <c r="AI80" s="3" t="s">
        <v>40</v>
      </c>
      <c r="AJ80" s="7">
        <v>0</v>
      </c>
      <c r="AK80" s="11">
        <f t="shared" si="52"/>
        <v>0</v>
      </c>
      <c r="AL80" s="7">
        <v>1</v>
      </c>
      <c r="AM80" s="11">
        <f t="shared" si="53"/>
        <v>0.1</v>
      </c>
      <c r="AN80" s="7">
        <v>0</v>
      </c>
      <c r="AO80" s="13">
        <f t="shared" si="54"/>
        <v>0</v>
      </c>
    </row>
    <row r="81" spans="2:41" x14ac:dyDescent="0.3">
      <c r="B81" s="33"/>
      <c r="C81" s="29"/>
      <c r="D81" s="34"/>
      <c r="E81" s="29"/>
      <c r="F81" s="36"/>
      <c r="G81" s="29"/>
      <c r="H81" s="36"/>
      <c r="J81" s="3" t="s">
        <v>16</v>
      </c>
      <c r="K81" s="7">
        <v>0</v>
      </c>
      <c r="L81" s="11">
        <f t="shared" si="55"/>
        <v>0</v>
      </c>
      <c r="M81" s="7">
        <v>0</v>
      </c>
      <c r="N81" s="11">
        <f t="shared" si="45"/>
        <v>0</v>
      </c>
      <c r="O81" s="59">
        <v>0</v>
      </c>
      <c r="P81" s="25">
        <f t="shared" si="46"/>
        <v>0</v>
      </c>
      <c r="Q81" s="34"/>
      <c r="R81" s="3" t="s">
        <v>16</v>
      </c>
      <c r="S81" s="7">
        <v>0</v>
      </c>
      <c r="T81" s="11">
        <f t="shared" si="47"/>
        <v>0</v>
      </c>
      <c r="U81" s="7">
        <v>0</v>
      </c>
      <c r="V81" s="11">
        <f t="shared" si="48"/>
        <v>0</v>
      </c>
      <c r="W81" s="7">
        <v>0</v>
      </c>
      <c r="X81" s="25">
        <f t="shared" si="49"/>
        <v>0</v>
      </c>
      <c r="Y81" s="34"/>
      <c r="AA81" s="3" t="s">
        <v>16</v>
      </c>
      <c r="AB81" s="7">
        <v>0</v>
      </c>
      <c r="AC81" s="11">
        <f t="shared" si="56"/>
        <v>0</v>
      </c>
      <c r="AD81" s="7">
        <v>0</v>
      </c>
      <c r="AE81" s="11">
        <f t="shared" si="50"/>
        <v>0</v>
      </c>
      <c r="AF81" s="7">
        <v>0</v>
      </c>
      <c r="AG81" s="13">
        <f t="shared" si="51"/>
        <v>0</v>
      </c>
      <c r="AI81" s="3" t="s">
        <v>16</v>
      </c>
      <c r="AJ81" s="7">
        <v>0</v>
      </c>
      <c r="AK81" s="11">
        <f t="shared" si="52"/>
        <v>0</v>
      </c>
      <c r="AL81" s="7">
        <v>0</v>
      </c>
      <c r="AM81" s="11">
        <f t="shared" si="53"/>
        <v>0</v>
      </c>
      <c r="AN81" s="7">
        <v>0</v>
      </c>
      <c r="AO81" s="13">
        <f t="shared" si="54"/>
        <v>0</v>
      </c>
    </row>
    <row r="82" spans="2:41" x14ac:dyDescent="0.3">
      <c r="B82" s="33"/>
      <c r="C82" s="29"/>
      <c r="D82" s="34"/>
      <c r="E82" s="29"/>
      <c r="F82" s="36"/>
      <c r="G82" s="29"/>
      <c r="H82" s="36"/>
      <c r="J82" s="3" t="s">
        <v>17</v>
      </c>
      <c r="K82" s="7">
        <v>0</v>
      </c>
      <c r="L82" s="11">
        <f t="shared" si="55"/>
        <v>0</v>
      </c>
      <c r="M82" s="7">
        <v>0</v>
      </c>
      <c r="N82" s="11">
        <f t="shared" si="45"/>
        <v>0</v>
      </c>
      <c r="O82" s="59">
        <v>0</v>
      </c>
      <c r="P82" s="25">
        <f t="shared" si="46"/>
        <v>0</v>
      </c>
      <c r="Q82" s="34"/>
      <c r="R82" s="3" t="s">
        <v>17</v>
      </c>
      <c r="S82" s="7">
        <v>0</v>
      </c>
      <c r="T82" s="11">
        <f t="shared" si="47"/>
        <v>0</v>
      </c>
      <c r="U82" s="7">
        <v>0</v>
      </c>
      <c r="V82" s="11">
        <f t="shared" si="48"/>
        <v>0</v>
      </c>
      <c r="W82" s="7">
        <v>0</v>
      </c>
      <c r="X82" s="25">
        <f t="shared" si="49"/>
        <v>0</v>
      </c>
      <c r="Y82" s="34"/>
      <c r="AA82" s="3" t="s">
        <v>17</v>
      </c>
      <c r="AB82" s="7">
        <v>0</v>
      </c>
      <c r="AC82" s="11">
        <f t="shared" si="56"/>
        <v>0</v>
      </c>
      <c r="AD82" s="7">
        <v>0</v>
      </c>
      <c r="AE82" s="11">
        <f t="shared" si="50"/>
        <v>0</v>
      </c>
      <c r="AF82" s="7">
        <v>0</v>
      </c>
      <c r="AG82" s="13">
        <f t="shared" si="51"/>
        <v>0</v>
      </c>
      <c r="AI82" s="3" t="s">
        <v>17</v>
      </c>
      <c r="AJ82" s="7">
        <v>0</v>
      </c>
      <c r="AK82" s="11">
        <f t="shared" si="52"/>
        <v>0</v>
      </c>
      <c r="AL82" s="7">
        <v>0</v>
      </c>
      <c r="AM82" s="11">
        <f t="shared" si="53"/>
        <v>0</v>
      </c>
      <c r="AN82" s="7">
        <v>0</v>
      </c>
      <c r="AO82" s="13">
        <f t="shared" si="54"/>
        <v>0</v>
      </c>
    </row>
    <row r="83" spans="2:41" x14ac:dyDescent="0.3">
      <c r="B83" s="33"/>
      <c r="C83" s="29"/>
      <c r="D83" s="34"/>
      <c r="E83" s="29"/>
      <c r="F83" s="36"/>
      <c r="G83" s="29"/>
      <c r="H83" s="36"/>
      <c r="J83" s="2" t="s">
        <v>41</v>
      </c>
      <c r="K83" s="7">
        <v>110</v>
      </c>
      <c r="L83" s="11">
        <f t="shared" si="55"/>
        <v>0.12775842044134728</v>
      </c>
      <c r="M83" s="7">
        <v>3</v>
      </c>
      <c r="N83" s="11">
        <f t="shared" si="45"/>
        <v>0.375</v>
      </c>
      <c r="O83" s="59">
        <v>6</v>
      </c>
      <c r="P83" s="25">
        <f t="shared" si="46"/>
        <v>0.33333333333333331</v>
      </c>
      <c r="Q83" s="35"/>
      <c r="R83" s="2" t="s">
        <v>41</v>
      </c>
      <c r="S83" s="7">
        <v>74</v>
      </c>
      <c r="T83" s="11">
        <f t="shared" si="47"/>
        <v>0.12869565217391304</v>
      </c>
      <c r="U83" s="66">
        <v>1</v>
      </c>
      <c r="V83" s="11">
        <f t="shared" si="48"/>
        <v>4.7619047619047616E-2</v>
      </c>
      <c r="W83" s="7">
        <v>2</v>
      </c>
      <c r="X83" s="25">
        <f t="shared" si="49"/>
        <v>0.25</v>
      </c>
      <c r="Y83" s="35"/>
      <c r="AA83" s="2" t="s">
        <v>41</v>
      </c>
      <c r="AB83" s="7">
        <v>17</v>
      </c>
      <c r="AC83" s="11">
        <f>AB83/$AB$85</f>
        <v>0.12781954887218044</v>
      </c>
      <c r="AD83" s="7">
        <v>0</v>
      </c>
      <c r="AE83" s="11">
        <f t="shared" si="50"/>
        <v>0</v>
      </c>
      <c r="AF83" s="7">
        <v>2</v>
      </c>
      <c r="AG83" s="13">
        <f t="shared" si="51"/>
        <v>5.7142857142857141E-2</v>
      </c>
      <c r="AI83" s="2" t="s">
        <v>41</v>
      </c>
      <c r="AJ83" s="7">
        <v>98</v>
      </c>
      <c r="AK83" s="11">
        <f t="shared" si="52"/>
        <v>0.12810457516339868</v>
      </c>
      <c r="AL83" s="7">
        <v>0</v>
      </c>
      <c r="AM83" s="11">
        <f t="shared" si="53"/>
        <v>0</v>
      </c>
      <c r="AN83" s="7">
        <v>3</v>
      </c>
      <c r="AO83" s="13">
        <f t="shared" si="54"/>
        <v>0.33333333333333331</v>
      </c>
    </row>
    <row r="84" spans="2:41" ht="15" thickBot="1" x14ac:dyDescent="0.35">
      <c r="B84" s="33"/>
      <c r="C84" s="29"/>
      <c r="D84" s="34"/>
      <c r="E84" s="29"/>
      <c r="F84" s="36"/>
      <c r="G84" s="29"/>
      <c r="H84" s="36"/>
      <c r="J84" s="30" t="s">
        <v>10</v>
      </c>
      <c r="K84" s="6">
        <v>40</v>
      </c>
      <c r="L84" s="39">
        <f t="shared" si="55"/>
        <v>4.6457607433217189E-2</v>
      </c>
      <c r="M84" s="6">
        <v>2</v>
      </c>
      <c r="N84" s="12">
        <f t="shared" si="45"/>
        <v>0.25</v>
      </c>
      <c r="O84" s="61">
        <v>0</v>
      </c>
      <c r="P84" s="54">
        <f t="shared" si="46"/>
        <v>0</v>
      </c>
      <c r="Q84" s="35"/>
      <c r="R84" s="30" t="s">
        <v>10</v>
      </c>
      <c r="S84" s="6">
        <v>27</v>
      </c>
      <c r="T84" s="39">
        <f t="shared" si="47"/>
        <v>4.6956521739130432E-2</v>
      </c>
      <c r="U84" s="6">
        <v>3</v>
      </c>
      <c r="V84" s="12">
        <f t="shared" si="48"/>
        <v>0.14285714285714285</v>
      </c>
      <c r="W84" s="6">
        <v>0</v>
      </c>
      <c r="X84" s="54">
        <f t="shared" si="49"/>
        <v>0</v>
      </c>
      <c r="Y84" s="35"/>
      <c r="AA84" s="30" t="s">
        <v>10</v>
      </c>
      <c r="AB84" s="6">
        <v>6</v>
      </c>
      <c r="AC84" s="39">
        <f>AB84/$AB$85</f>
        <v>4.5112781954887216E-2</v>
      </c>
      <c r="AD84" s="6">
        <v>2</v>
      </c>
      <c r="AE84" s="12">
        <f t="shared" si="50"/>
        <v>0.16666666666666666</v>
      </c>
      <c r="AF84" s="6">
        <v>3</v>
      </c>
      <c r="AG84" s="54">
        <f t="shared" si="51"/>
        <v>8.5714285714285715E-2</v>
      </c>
      <c r="AI84" s="30" t="s">
        <v>10</v>
      </c>
      <c r="AJ84" s="6">
        <v>36</v>
      </c>
      <c r="AK84" s="39">
        <f t="shared" si="52"/>
        <v>4.7058823529411764E-2</v>
      </c>
      <c r="AL84" s="6">
        <v>1</v>
      </c>
      <c r="AM84" s="12">
        <f t="shared" si="53"/>
        <v>0.1</v>
      </c>
      <c r="AN84" s="6">
        <v>2</v>
      </c>
      <c r="AO84" s="54">
        <f t="shared" si="54"/>
        <v>0.22222222222222221</v>
      </c>
    </row>
    <row r="85" spans="2:41" ht="15" thickBot="1" x14ac:dyDescent="0.35">
      <c r="B85" s="29"/>
      <c r="C85" s="29"/>
      <c r="D85" s="29"/>
      <c r="E85" s="29"/>
      <c r="F85" s="29"/>
      <c r="G85" s="29"/>
      <c r="H85" s="29"/>
      <c r="J85" s="5" t="s">
        <v>25</v>
      </c>
      <c r="K85" s="92">
        <f>SUM(K51:K84)</f>
        <v>861</v>
      </c>
      <c r="L85" s="103"/>
      <c r="M85" s="111">
        <f>SUM(M51:M84)</f>
        <v>8</v>
      </c>
      <c r="N85" s="103"/>
      <c r="O85" s="111">
        <f>SUM(O51:O84)</f>
        <v>18</v>
      </c>
      <c r="P85" s="103"/>
      <c r="Q85" s="29"/>
      <c r="R85" s="5" t="s">
        <v>25</v>
      </c>
      <c r="S85" s="92">
        <f>SUM(S51:S84)</f>
        <v>575</v>
      </c>
      <c r="T85" s="103"/>
      <c r="U85" s="111">
        <f>SUM(U51:U84)</f>
        <v>21</v>
      </c>
      <c r="V85" s="103"/>
      <c r="W85" s="111">
        <f>SUM(W51:W84)</f>
        <v>8</v>
      </c>
      <c r="X85" s="103"/>
      <c r="Y85" s="29"/>
      <c r="AA85" s="5" t="s">
        <v>25</v>
      </c>
      <c r="AB85" s="92">
        <f>SUM(AB51:AB84)</f>
        <v>133</v>
      </c>
      <c r="AC85" s="103"/>
      <c r="AD85" s="111">
        <f>SUM(AD51:AD84)</f>
        <v>12</v>
      </c>
      <c r="AE85" s="103"/>
      <c r="AF85" s="111">
        <f>SUM(AF51:AF84)</f>
        <v>35</v>
      </c>
      <c r="AG85" s="103"/>
      <c r="AI85" s="5" t="s">
        <v>25</v>
      </c>
      <c r="AJ85" s="92">
        <f>SUM(AJ51:AJ84)</f>
        <v>765</v>
      </c>
      <c r="AK85" s="103"/>
      <c r="AL85" s="111">
        <f>SUM(AL51:AL84)</f>
        <v>10</v>
      </c>
      <c r="AM85" s="103"/>
      <c r="AN85" s="111">
        <f>SUM(AN51:AN84)</f>
        <v>9</v>
      </c>
      <c r="AO85" s="103"/>
    </row>
    <row r="86" spans="2:41" ht="15" thickBot="1" x14ac:dyDescent="0.35">
      <c r="J86" s="19" t="s">
        <v>26</v>
      </c>
      <c r="K86" s="112">
        <f>K85/($K$85+$M$85+$O$85)</f>
        <v>0.97068771138669674</v>
      </c>
      <c r="L86" s="113"/>
      <c r="M86" s="112">
        <f>M85/($K$85+$M$85+$O$85)</f>
        <v>9.0191657271702363E-3</v>
      </c>
      <c r="N86" s="113"/>
      <c r="O86" s="112">
        <f>O85/($K$85+$M$85+$O$85)</f>
        <v>2.0293122886133032E-2</v>
      </c>
      <c r="P86" s="113"/>
      <c r="Q86" s="37"/>
      <c r="R86" s="19" t="s">
        <v>26</v>
      </c>
      <c r="S86" s="112">
        <f>S85/($S$85+$U$85+$W$85)</f>
        <v>0.95198675496688745</v>
      </c>
      <c r="T86" s="103"/>
      <c r="U86" s="112">
        <f>U85/($S$85+$U$85+$W$85)</f>
        <v>3.4768211920529798E-2</v>
      </c>
      <c r="V86" s="103"/>
      <c r="W86" s="112">
        <f>W85/($S$85+$U$85+$W$85)</f>
        <v>1.3245033112582781E-2</v>
      </c>
      <c r="X86" s="116"/>
      <c r="Y86" s="37"/>
      <c r="AA86" s="19" t="s">
        <v>26</v>
      </c>
      <c r="AB86" s="112">
        <f>AB85/($AB$85+$AD$85+$AF$85)</f>
        <v>0.73888888888888893</v>
      </c>
      <c r="AC86" s="103"/>
      <c r="AD86" s="112">
        <f>AD85/($AB$85+$AD$85+$AF$85)</f>
        <v>6.6666666666666666E-2</v>
      </c>
      <c r="AE86" s="103"/>
      <c r="AF86" s="112">
        <f>AF85/($AB$85+$AD$85+$AF$85)</f>
        <v>0.19444444444444445</v>
      </c>
      <c r="AG86" s="116"/>
      <c r="AI86" s="19" t="s">
        <v>26</v>
      </c>
      <c r="AJ86" s="112">
        <f>AJ85/($AJ$85+$AL$85+$AN$85)</f>
        <v>0.97576530612244894</v>
      </c>
      <c r="AK86" s="103"/>
      <c r="AL86" s="112">
        <f t="shared" ref="AL86" si="57">AL85/($AJ$85+$AL$85+$AN$85)</f>
        <v>1.2755102040816327E-2</v>
      </c>
      <c r="AM86" s="103"/>
      <c r="AN86" s="112">
        <f t="shared" ref="AN86" si="58">AN85/($AJ$85+$AL$85+$AN$85)</f>
        <v>1.1479591836734694E-2</v>
      </c>
      <c r="AO86" s="103"/>
    </row>
    <row r="87" spans="2:41" ht="15" thickBot="1" x14ac:dyDescent="0.35">
      <c r="J87" s="20" t="s">
        <v>23</v>
      </c>
      <c r="K87" s="117">
        <v>0.85</v>
      </c>
      <c r="L87" s="118"/>
      <c r="M87" s="117">
        <v>0.1</v>
      </c>
      <c r="N87" s="118"/>
      <c r="O87" s="117">
        <v>0.05</v>
      </c>
      <c r="P87" s="118"/>
      <c r="Q87" s="29"/>
      <c r="R87" s="20" t="s">
        <v>23</v>
      </c>
      <c r="S87" s="117">
        <v>0.85</v>
      </c>
      <c r="T87" s="118"/>
      <c r="U87" s="117">
        <v>0.1</v>
      </c>
      <c r="V87" s="118"/>
      <c r="W87" s="117">
        <v>0.05</v>
      </c>
      <c r="X87" s="118"/>
      <c r="Y87" s="29"/>
      <c r="AA87" s="20" t="s">
        <v>23</v>
      </c>
      <c r="AB87" s="117">
        <v>0.85</v>
      </c>
      <c r="AC87" s="118"/>
      <c r="AD87" s="117">
        <v>0.1</v>
      </c>
      <c r="AE87" s="118"/>
      <c r="AF87" s="117">
        <v>0.05</v>
      </c>
      <c r="AG87" s="118"/>
      <c r="AI87" s="20" t="s">
        <v>23</v>
      </c>
      <c r="AJ87" s="117">
        <v>0.85</v>
      </c>
      <c r="AK87" s="118"/>
      <c r="AL87" s="117">
        <v>0.1</v>
      </c>
      <c r="AM87" s="118"/>
      <c r="AN87" s="117">
        <v>0.05</v>
      </c>
      <c r="AO87" s="118"/>
    </row>
    <row r="88" spans="2:41" ht="15" thickBot="1" x14ac:dyDescent="0.35">
      <c r="J88" s="21" t="s">
        <v>24</v>
      </c>
      <c r="K88" s="102">
        <f>K86-K87</f>
        <v>0.12068771138669676</v>
      </c>
      <c r="L88" s="103"/>
      <c r="M88" s="102">
        <f>M87-M86</f>
        <v>9.0980834272829769E-2</v>
      </c>
      <c r="N88" s="103"/>
      <c r="O88" s="102">
        <f>O87-O86</f>
        <v>2.9706877113866971E-2</v>
      </c>
      <c r="P88" s="103"/>
      <c r="Q88" s="29"/>
      <c r="R88" s="21" t="s">
        <v>24</v>
      </c>
      <c r="S88" s="119">
        <f>S86-S87</f>
        <v>0.10198675496688747</v>
      </c>
      <c r="T88" s="120"/>
      <c r="U88" s="119">
        <f>U87-U86</f>
        <v>6.5231788079470207E-2</v>
      </c>
      <c r="V88" s="120"/>
      <c r="W88" s="119">
        <f>W87-W86</f>
        <v>3.6754966887417223E-2</v>
      </c>
      <c r="X88" s="120"/>
      <c r="Y88" s="29"/>
      <c r="AA88" s="21" t="s">
        <v>24</v>
      </c>
      <c r="AB88" s="121">
        <f>AB86-AB87</f>
        <v>-0.11111111111111105</v>
      </c>
      <c r="AC88" s="122"/>
      <c r="AD88" s="119">
        <f>AD87-AD86</f>
        <v>3.333333333333334E-2</v>
      </c>
      <c r="AE88" s="120"/>
      <c r="AF88" s="121">
        <f>AF87-AF86</f>
        <v>-0.14444444444444443</v>
      </c>
      <c r="AG88" s="122"/>
      <c r="AI88" s="21" t="s">
        <v>24</v>
      </c>
      <c r="AJ88" s="119">
        <f>AJ86-AJ87</f>
        <v>0.12576530612244896</v>
      </c>
      <c r="AK88" s="120"/>
      <c r="AL88" s="119">
        <f>AL87-AL86</f>
        <v>8.7244897959183679E-2</v>
      </c>
      <c r="AM88" s="120"/>
      <c r="AN88" s="119">
        <f>AN87-AN86</f>
        <v>3.852040816326531E-2</v>
      </c>
      <c r="AO88" s="120"/>
    </row>
  </sheetData>
  <mergeCells count="264">
    <mergeCell ref="K87:L87"/>
    <mergeCell ref="M87:N87"/>
    <mergeCell ref="O87:P87"/>
    <mergeCell ref="S87:T87"/>
    <mergeCell ref="U87:V87"/>
    <mergeCell ref="AJ88:AK88"/>
    <mergeCell ref="AL88:AM88"/>
    <mergeCell ref="AN88:AO88"/>
    <mergeCell ref="AN87:AO87"/>
    <mergeCell ref="K88:L88"/>
    <mergeCell ref="M88:N88"/>
    <mergeCell ref="O88:P88"/>
    <mergeCell ref="S88:T88"/>
    <mergeCell ref="U88:V88"/>
    <mergeCell ref="W88:X88"/>
    <mergeCell ref="AB88:AC88"/>
    <mergeCell ref="AD88:AE88"/>
    <mergeCell ref="AF88:AG88"/>
    <mergeCell ref="W87:X87"/>
    <mergeCell ref="AB87:AC87"/>
    <mergeCell ref="AD87:AE87"/>
    <mergeCell ref="AF87:AG87"/>
    <mergeCell ref="AJ87:AK87"/>
    <mergeCell ref="AL87:AM87"/>
    <mergeCell ref="AJ85:AK85"/>
    <mergeCell ref="AL85:AM85"/>
    <mergeCell ref="AN85:AO85"/>
    <mergeCell ref="K86:L86"/>
    <mergeCell ref="M86:N86"/>
    <mergeCell ref="O86:P86"/>
    <mergeCell ref="S86:T86"/>
    <mergeCell ref="U86:V86"/>
    <mergeCell ref="W86:X86"/>
    <mergeCell ref="AB86:AC86"/>
    <mergeCell ref="S85:T85"/>
    <mergeCell ref="U85:V85"/>
    <mergeCell ref="W85:X85"/>
    <mergeCell ref="AB85:AC85"/>
    <mergeCell ref="AD85:AE85"/>
    <mergeCell ref="AF85:AG85"/>
    <mergeCell ref="AD86:AE86"/>
    <mergeCell ref="AF86:AG86"/>
    <mergeCell ref="AJ86:AK86"/>
    <mergeCell ref="AL86:AM86"/>
    <mergeCell ref="AN86:AO86"/>
    <mergeCell ref="C71:D71"/>
    <mergeCell ref="E71:F71"/>
    <mergeCell ref="G71:H71"/>
    <mergeCell ref="K85:L85"/>
    <mergeCell ref="M85:N85"/>
    <mergeCell ref="O85:P85"/>
    <mergeCell ref="C69:D69"/>
    <mergeCell ref="E69:F69"/>
    <mergeCell ref="G69:H69"/>
    <mergeCell ref="C70:D70"/>
    <mergeCell ref="E70:F70"/>
    <mergeCell ref="G70:H70"/>
    <mergeCell ref="AF50:AG50"/>
    <mergeCell ref="AJ50:AK50"/>
    <mergeCell ref="AL50:AM50"/>
    <mergeCell ref="AN50:AO50"/>
    <mergeCell ref="C68:D68"/>
    <mergeCell ref="E68:F68"/>
    <mergeCell ref="G68:H68"/>
    <mergeCell ref="O50:P50"/>
    <mergeCell ref="S50:T50"/>
    <mergeCell ref="U50:V50"/>
    <mergeCell ref="W50:X50"/>
    <mergeCell ref="AB50:AC50"/>
    <mergeCell ref="AD50:AE50"/>
    <mergeCell ref="CW18:CX18"/>
    <mergeCell ref="DE18:DF18"/>
    <mergeCell ref="BD19:BE19"/>
    <mergeCell ref="G22:H22"/>
    <mergeCell ref="G39:H39"/>
    <mergeCell ref="C50:D50"/>
    <mergeCell ref="E50:F50"/>
    <mergeCell ref="G50:H50"/>
    <mergeCell ref="K50:L50"/>
    <mergeCell ref="M50:N50"/>
    <mergeCell ref="BB18:BC18"/>
    <mergeCell ref="BD18:BE18"/>
    <mergeCell ref="BO18:BP18"/>
    <mergeCell ref="BY18:BZ18"/>
    <mergeCell ref="CG18:CH18"/>
    <mergeCell ref="CO18:CP18"/>
    <mergeCell ref="AL18:AM18"/>
    <mergeCell ref="AN18:AO18"/>
    <mergeCell ref="AR18:AS18"/>
    <mergeCell ref="AT18:AU18"/>
    <mergeCell ref="AV18:AW18"/>
    <mergeCell ref="AZ18:BA18"/>
    <mergeCell ref="U18:V18"/>
    <mergeCell ref="W18:X18"/>
    <mergeCell ref="AB18:AC18"/>
    <mergeCell ref="AD18:AE18"/>
    <mergeCell ref="AF18:AG18"/>
    <mergeCell ref="AJ18:AK18"/>
    <mergeCell ref="AZ17:BA17"/>
    <mergeCell ref="BB17:BC17"/>
    <mergeCell ref="BD17:BE17"/>
    <mergeCell ref="C18:D18"/>
    <mergeCell ref="E18:F18"/>
    <mergeCell ref="G18:H18"/>
    <mergeCell ref="K18:L18"/>
    <mergeCell ref="M18:N18"/>
    <mergeCell ref="O18:P18"/>
    <mergeCell ref="S18:T18"/>
    <mergeCell ref="AJ17:AK17"/>
    <mergeCell ref="AL17:AM17"/>
    <mergeCell ref="AN17:AO17"/>
    <mergeCell ref="AR17:AS17"/>
    <mergeCell ref="AT17:AU17"/>
    <mergeCell ref="AV17:AW17"/>
    <mergeCell ref="S17:T17"/>
    <mergeCell ref="U17:V17"/>
    <mergeCell ref="W17:X17"/>
    <mergeCell ref="AB17:AC17"/>
    <mergeCell ref="AD17:AE17"/>
    <mergeCell ref="AF17:AG17"/>
    <mergeCell ref="C17:D17"/>
    <mergeCell ref="E17:F17"/>
    <mergeCell ref="G17:H17"/>
    <mergeCell ref="K17:L17"/>
    <mergeCell ref="M17:N17"/>
    <mergeCell ref="O17:P17"/>
    <mergeCell ref="CS16:CT16"/>
    <mergeCell ref="AZ16:BA16"/>
    <mergeCell ref="BB16:BC16"/>
    <mergeCell ref="BD16:BE16"/>
    <mergeCell ref="BK16:BL16"/>
    <mergeCell ref="BM16:BN16"/>
    <mergeCell ref="BO16:BP16"/>
    <mergeCell ref="AJ16:AK16"/>
    <mergeCell ref="AL16:AM16"/>
    <mergeCell ref="AN16:AO16"/>
    <mergeCell ref="AR16:AS16"/>
    <mergeCell ref="AT16:AU16"/>
    <mergeCell ref="AV16:AW16"/>
    <mergeCell ref="S16:T16"/>
    <mergeCell ref="U16:V16"/>
    <mergeCell ref="W16:X16"/>
    <mergeCell ref="CU16:CV16"/>
    <mergeCell ref="CW16:CX16"/>
    <mergeCell ref="DA16:DB16"/>
    <mergeCell ref="DC16:DD16"/>
    <mergeCell ref="DE16:DF16"/>
    <mergeCell ref="CC16:CD16"/>
    <mergeCell ref="CE16:CF16"/>
    <mergeCell ref="CG16:CH16"/>
    <mergeCell ref="CK16:CL16"/>
    <mergeCell ref="CM16:CN16"/>
    <mergeCell ref="CO16:CP16"/>
    <mergeCell ref="AB16:AC16"/>
    <mergeCell ref="AD16:AE16"/>
    <mergeCell ref="AF16:AG16"/>
    <mergeCell ref="CW15:CX15"/>
    <mergeCell ref="DA15:DB15"/>
    <mergeCell ref="DC15:DD15"/>
    <mergeCell ref="DE15:DF15"/>
    <mergeCell ref="C16:D16"/>
    <mergeCell ref="E16:F16"/>
    <mergeCell ref="G16:H16"/>
    <mergeCell ref="K16:L16"/>
    <mergeCell ref="M16:N16"/>
    <mergeCell ref="O16:P16"/>
    <mergeCell ref="CG15:CH15"/>
    <mergeCell ref="CK15:CL15"/>
    <mergeCell ref="CM15:CN15"/>
    <mergeCell ref="CO15:CP15"/>
    <mergeCell ref="CS15:CT15"/>
    <mergeCell ref="CU15:CV15"/>
    <mergeCell ref="BD15:BE15"/>
    <mergeCell ref="BK15:BL15"/>
    <mergeCell ref="BM15:BN15"/>
    <mergeCell ref="BO15:BP15"/>
    <mergeCell ref="CC15:CD15"/>
    <mergeCell ref="CO14:CP14"/>
    <mergeCell ref="CS14:CT14"/>
    <mergeCell ref="CU14:CV14"/>
    <mergeCell ref="CW14:CX14"/>
    <mergeCell ref="DA14:DB14"/>
    <mergeCell ref="CE15:CF15"/>
    <mergeCell ref="AN15:AO15"/>
    <mergeCell ref="AR15:AS15"/>
    <mergeCell ref="AT15:AU15"/>
    <mergeCell ref="AV15:AW15"/>
    <mergeCell ref="AZ15:BA15"/>
    <mergeCell ref="BB15:BC15"/>
    <mergeCell ref="C15:D15"/>
    <mergeCell ref="E15:F15"/>
    <mergeCell ref="G15:H15"/>
    <mergeCell ref="K15:L15"/>
    <mergeCell ref="M15:N15"/>
    <mergeCell ref="O15:P15"/>
    <mergeCell ref="S15:T15"/>
    <mergeCell ref="U15:V15"/>
    <mergeCell ref="CM14:CN14"/>
    <mergeCell ref="W15:X15"/>
    <mergeCell ref="AB15:AC15"/>
    <mergeCell ref="AD15:AE15"/>
    <mergeCell ref="AF15:AG15"/>
    <mergeCell ref="AJ15:AK15"/>
    <mergeCell ref="AL15:AM15"/>
    <mergeCell ref="DA13:DB13"/>
    <mergeCell ref="DC13:DD13"/>
    <mergeCell ref="DE13:DF13"/>
    <mergeCell ref="BK14:BL14"/>
    <mergeCell ref="BM14:BN14"/>
    <mergeCell ref="BO14:BP14"/>
    <mergeCell ref="CC14:CD14"/>
    <mergeCell ref="CE14:CF14"/>
    <mergeCell ref="CG14:CH14"/>
    <mergeCell ref="CK14:CL14"/>
    <mergeCell ref="CK13:CL13"/>
    <mergeCell ref="CM13:CN13"/>
    <mergeCell ref="CO13:CP13"/>
    <mergeCell ref="CS13:CT13"/>
    <mergeCell ref="CU13:CV13"/>
    <mergeCell ref="CW13:CX13"/>
    <mergeCell ref="BK13:BL13"/>
    <mergeCell ref="BM13:BN13"/>
    <mergeCell ref="BO13:BP13"/>
    <mergeCell ref="CC13:CD13"/>
    <mergeCell ref="CE13:CF13"/>
    <mergeCell ref="CG13:CH13"/>
    <mergeCell ref="DC14:DD14"/>
    <mergeCell ref="DE14:DF14"/>
    <mergeCell ref="CS3:CT3"/>
    <mergeCell ref="CU3:CV3"/>
    <mergeCell ref="CW3:CX3"/>
    <mergeCell ref="DA3:DB3"/>
    <mergeCell ref="DC3:DD3"/>
    <mergeCell ref="DE3:DF3"/>
    <mergeCell ref="CC3:CD3"/>
    <mergeCell ref="CE3:CF3"/>
    <mergeCell ref="CG3:CH3"/>
    <mergeCell ref="CK3:CL3"/>
    <mergeCell ref="CM3:CN3"/>
    <mergeCell ref="CO3:CP3"/>
    <mergeCell ref="AZ3:BA3"/>
    <mergeCell ref="BB3:BC3"/>
    <mergeCell ref="BD3:BE3"/>
    <mergeCell ref="BK3:BL3"/>
    <mergeCell ref="BM3:BN3"/>
    <mergeCell ref="BO3:BP3"/>
    <mergeCell ref="AJ3:AK3"/>
    <mergeCell ref="AL3:AM3"/>
    <mergeCell ref="AN3:AO3"/>
    <mergeCell ref="AR3:AS3"/>
    <mergeCell ref="AT3:AU3"/>
    <mergeCell ref="AV3:AW3"/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</mergeCells>
  <conditionalFormatting sqref="C18 E18 G18">
    <cfRule type="cellIs" dxfId="223" priority="57" operator="lessThan">
      <formula>0</formula>
    </cfRule>
  </conditionalFormatting>
  <conditionalFormatting sqref="C71:D71">
    <cfRule type="cellIs" dxfId="222" priority="56" operator="lessThan">
      <formula>0</formula>
    </cfRule>
  </conditionalFormatting>
  <conditionalFormatting sqref="E71:F71">
    <cfRule type="cellIs" dxfId="221" priority="55" operator="lessThan">
      <formula>0</formula>
    </cfRule>
  </conditionalFormatting>
  <conditionalFormatting sqref="G71:H71">
    <cfRule type="cellIs" dxfId="220" priority="54" operator="lessThan">
      <formula>0</formula>
    </cfRule>
  </conditionalFormatting>
  <conditionalFormatting sqref="G71:H71">
    <cfRule type="cellIs" dxfId="219" priority="53" operator="lessThan">
      <formula>0</formula>
    </cfRule>
  </conditionalFormatting>
  <conditionalFormatting sqref="S18:T18">
    <cfRule type="cellIs" dxfId="218" priority="52" operator="lessThan">
      <formula>0</formula>
    </cfRule>
  </conditionalFormatting>
  <conditionalFormatting sqref="U18:V18">
    <cfRule type="cellIs" dxfId="217" priority="51" operator="lessThan">
      <formula>0</formula>
    </cfRule>
  </conditionalFormatting>
  <conditionalFormatting sqref="W18:X18">
    <cfRule type="cellIs" dxfId="216" priority="50" operator="lessThan">
      <formula>0</formula>
    </cfRule>
  </conditionalFormatting>
  <conditionalFormatting sqref="W18:X18">
    <cfRule type="cellIs" dxfId="215" priority="49" operator="lessThan">
      <formula>0</formula>
    </cfRule>
  </conditionalFormatting>
  <conditionalFormatting sqref="AF18:AG18">
    <cfRule type="cellIs" dxfId="214" priority="48" operator="lessThan">
      <formula>0</formula>
    </cfRule>
  </conditionalFormatting>
  <conditionalFormatting sqref="AF18:AG18">
    <cfRule type="cellIs" dxfId="213" priority="47" operator="lessThan">
      <formula>0</formula>
    </cfRule>
  </conditionalFormatting>
  <conditionalFormatting sqref="AD18:AE18">
    <cfRule type="cellIs" dxfId="212" priority="46" operator="lessThan">
      <formula>0</formula>
    </cfRule>
  </conditionalFormatting>
  <conditionalFormatting sqref="AB18:AC18">
    <cfRule type="cellIs" dxfId="211" priority="45" operator="lessThan">
      <formula>0</formula>
    </cfRule>
  </conditionalFormatting>
  <conditionalFormatting sqref="K18:L18">
    <cfRule type="cellIs" dxfId="210" priority="44" operator="lessThan">
      <formula>0</formula>
    </cfRule>
  </conditionalFormatting>
  <conditionalFormatting sqref="C18:D18">
    <cfRule type="cellIs" dxfId="209" priority="43" operator="lessThan">
      <formula>0</formula>
    </cfRule>
  </conditionalFormatting>
  <conditionalFormatting sqref="E18:F18">
    <cfRule type="cellIs" dxfId="208" priority="42" operator="lessThan">
      <formula>0</formula>
    </cfRule>
  </conditionalFormatting>
  <conditionalFormatting sqref="M18:N18">
    <cfRule type="cellIs" dxfId="207" priority="41" operator="lessThan">
      <formula>0</formula>
    </cfRule>
  </conditionalFormatting>
  <conditionalFormatting sqref="G18:H18">
    <cfRule type="cellIs" dxfId="206" priority="40" operator="lessThan">
      <formula>0</formula>
    </cfRule>
  </conditionalFormatting>
  <conditionalFormatting sqref="G18:H18">
    <cfRule type="cellIs" dxfId="205" priority="39" operator="lessThan">
      <formula>0</formula>
    </cfRule>
  </conditionalFormatting>
  <conditionalFormatting sqref="O18:P18">
    <cfRule type="cellIs" dxfId="204" priority="38" operator="lessThan">
      <formula>0</formula>
    </cfRule>
  </conditionalFormatting>
  <conditionalFormatting sqref="O18:P18">
    <cfRule type="cellIs" dxfId="203" priority="37" operator="lessThan">
      <formula>0</formula>
    </cfRule>
  </conditionalFormatting>
  <conditionalFormatting sqref="K88:L88">
    <cfRule type="cellIs" dxfId="202" priority="36" operator="lessThan">
      <formula>0</formula>
    </cfRule>
  </conditionalFormatting>
  <conditionalFormatting sqref="M88:N88">
    <cfRule type="cellIs" dxfId="201" priority="35" operator="lessThan">
      <formula>0</formula>
    </cfRule>
  </conditionalFormatting>
  <conditionalFormatting sqref="O88:P88">
    <cfRule type="cellIs" dxfId="200" priority="34" operator="lessThan">
      <formula>0</formula>
    </cfRule>
  </conditionalFormatting>
  <conditionalFormatting sqref="O88:P88">
    <cfRule type="cellIs" dxfId="199" priority="33" operator="lessThan">
      <formula>0</formula>
    </cfRule>
  </conditionalFormatting>
  <conditionalFormatting sqref="AN18:AO18">
    <cfRule type="cellIs" dxfId="198" priority="32" operator="lessThan">
      <formula>0</formula>
    </cfRule>
  </conditionalFormatting>
  <conditionalFormatting sqref="AN18:AO18">
    <cfRule type="cellIs" dxfId="197" priority="31" operator="lessThan">
      <formula>0</formula>
    </cfRule>
  </conditionalFormatting>
  <conditionalFormatting sqref="AL18:AM18">
    <cfRule type="cellIs" dxfId="196" priority="30" operator="lessThan">
      <formula>0</formula>
    </cfRule>
  </conditionalFormatting>
  <conditionalFormatting sqref="AJ18:AK18">
    <cfRule type="cellIs" dxfId="195" priority="29" operator="lessThan">
      <formula>0</formula>
    </cfRule>
  </conditionalFormatting>
  <conditionalFormatting sqref="AV18:AW18">
    <cfRule type="cellIs" dxfId="194" priority="28" operator="lessThan">
      <formula>0</formula>
    </cfRule>
  </conditionalFormatting>
  <conditionalFormatting sqref="AV18:AW18">
    <cfRule type="cellIs" dxfId="193" priority="27" operator="lessThan">
      <formula>0</formula>
    </cfRule>
  </conditionalFormatting>
  <conditionalFormatting sqref="AT18:AU18">
    <cfRule type="cellIs" dxfId="192" priority="26" operator="lessThan">
      <formula>0</formula>
    </cfRule>
  </conditionalFormatting>
  <conditionalFormatting sqref="AR18:AS18">
    <cfRule type="cellIs" dxfId="191" priority="25" operator="lessThan">
      <formula>0</formula>
    </cfRule>
  </conditionalFormatting>
  <conditionalFormatting sqref="BD18:BE18">
    <cfRule type="cellIs" dxfId="190" priority="24" operator="lessThan">
      <formula>0</formula>
    </cfRule>
  </conditionalFormatting>
  <conditionalFormatting sqref="BD18:BE18">
    <cfRule type="cellIs" dxfId="189" priority="23" operator="lessThan">
      <formula>0</formula>
    </cfRule>
  </conditionalFormatting>
  <conditionalFormatting sqref="BB18:BC18">
    <cfRule type="cellIs" dxfId="188" priority="22" operator="lessThan">
      <formula>0</formula>
    </cfRule>
  </conditionalFormatting>
  <conditionalFormatting sqref="AZ18:BA18">
    <cfRule type="cellIs" dxfId="187" priority="21" operator="lessThan">
      <formula>0</formula>
    </cfRule>
  </conditionalFormatting>
  <conditionalFormatting sqref="BO16:BP16">
    <cfRule type="cellIs" dxfId="186" priority="20" operator="lessThan">
      <formula>0</formula>
    </cfRule>
  </conditionalFormatting>
  <conditionalFormatting sqref="BO16:BP16">
    <cfRule type="cellIs" dxfId="185" priority="19" operator="lessThan">
      <formula>0</formula>
    </cfRule>
  </conditionalFormatting>
  <conditionalFormatting sqref="BM16:BN16">
    <cfRule type="cellIs" dxfId="184" priority="18" operator="lessThan">
      <formula>0</formula>
    </cfRule>
  </conditionalFormatting>
  <conditionalFormatting sqref="BK16:BL16">
    <cfRule type="cellIs" dxfId="183" priority="17" operator="lessThan">
      <formula>0</formula>
    </cfRule>
  </conditionalFormatting>
  <conditionalFormatting sqref="CG16:CH16">
    <cfRule type="cellIs" dxfId="182" priority="16" operator="lessThan">
      <formula>0</formula>
    </cfRule>
  </conditionalFormatting>
  <conditionalFormatting sqref="CG16:CH16">
    <cfRule type="cellIs" dxfId="181" priority="15" operator="lessThan">
      <formula>0</formula>
    </cfRule>
  </conditionalFormatting>
  <conditionalFormatting sqref="CE16:CF16">
    <cfRule type="cellIs" dxfId="180" priority="14" operator="lessThan">
      <formula>0</formula>
    </cfRule>
  </conditionalFormatting>
  <conditionalFormatting sqref="CC16:CD16">
    <cfRule type="cellIs" dxfId="179" priority="13" operator="lessThan">
      <formula>0</formula>
    </cfRule>
  </conditionalFormatting>
  <conditionalFormatting sqref="CO16:CP16">
    <cfRule type="cellIs" dxfId="178" priority="12" operator="lessThan">
      <formula>0</formula>
    </cfRule>
  </conditionalFormatting>
  <conditionalFormatting sqref="CO16:CP16">
    <cfRule type="cellIs" dxfId="177" priority="11" operator="lessThan">
      <formula>0</formula>
    </cfRule>
  </conditionalFormatting>
  <conditionalFormatting sqref="CM16:CN16">
    <cfRule type="cellIs" dxfId="176" priority="10" operator="lessThan">
      <formula>0</formula>
    </cfRule>
  </conditionalFormatting>
  <conditionalFormatting sqref="CK16:CL16">
    <cfRule type="cellIs" dxfId="175" priority="9" operator="lessThan">
      <formula>0</formula>
    </cfRule>
  </conditionalFormatting>
  <conditionalFormatting sqref="CW16:CX16">
    <cfRule type="cellIs" dxfId="174" priority="8" operator="lessThan">
      <formula>0</formula>
    </cfRule>
  </conditionalFormatting>
  <conditionalFormatting sqref="CW16:CX16">
    <cfRule type="cellIs" dxfId="173" priority="7" operator="lessThan">
      <formula>0</formula>
    </cfRule>
  </conditionalFormatting>
  <conditionalFormatting sqref="CU16:CV16">
    <cfRule type="cellIs" dxfId="172" priority="6" operator="lessThan">
      <formula>0</formula>
    </cfRule>
  </conditionalFormatting>
  <conditionalFormatting sqref="CS16:CT16">
    <cfRule type="cellIs" dxfId="171" priority="5" operator="lessThan">
      <formula>0</formula>
    </cfRule>
  </conditionalFormatting>
  <conditionalFormatting sqref="DE16:DF16">
    <cfRule type="cellIs" dxfId="170" priority="4" operator="lessThan">
      <formula>0</formula>
    </cfRule>
  </conditionalFormatting>
  <conditionalFormatting sqref="DE16:DF16">
    <cfRule type="cellIs" dxfId="169" priority="3" operator="lessThan">
      <formula>0</formula>
    </cfRule>
  </conditionalFormatting>
  <conditionalFormatting sqref="DC16:DD16">
    <cfRule type="cellIs" dxfId="168" priority="2" operator="lessThan">
      <formula>0</formula>
    </cfRule>
  </conditionalFormatting>
  <conditionalFormatting sqref="DA16:DB16">
    <cfRule type="cellIs" dxfId="167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DF88"/>
  <sheetViews>
    <sheetView showGridLines="0" defaultGridColor="0" topLeftCell="CB1" colorId="22" zoomScale="75" zoomScaleNormal="75" workbookViewId="0">
      <selection activeCell="BQ27" sqref="BQ27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  <col min="104" max="104" width="17.109375" bestFit="1" customWidth="1"/>
  </cols>
  <sheetData>
    <row r="1" spans="2:110" ht="3" customHeight="1" x14ac:dyDescent="0.25"/>
    <row r="2" spans="2:110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  <c r="CZ2" s="69" t="s">
        <v>98</v>
      </c>
    </row>
    <row r="3" spans="2:110" ht="15.75" thickBot="1" x14ac:dyDescent="0.3">
      <c r="B3" s="18" t="s">
        <v>22</v>
      </c>
      <c r="C3" s="86" t="s">
        <v>0</v>
      </c>
      <c r="D3" s="86"/>
      <c r="E3" s="86" t="s">
        <v>49</v>
      </c>
      <c r="F3" s="86"/>
      <c r="G3" s="87" t="s">
        <v>61</v>
      </c>
      <c r="H3" s="88"/>
      <c r="J3" s="18" t="s">
        <v>22</v>
      </c>
      <c r="K3" s="86" t="s">
        <v>0</v>
      </c>
      <c r="L3" s="86"/>
      <c r="M3" s="86" t="s">
        <v>49</v>
      </c>
      <c r="N3" s="86"/>
      <c r="O3" s="90" t="s">
        <v>63</v>
      </c>
      <c r="P3" s="91"/>
      <c r="Q3" s="80"/>
      <c r="R3" s="18" t="s">
        <v>22</v>
      </c>
      <c r="S3" s="86" t="s">
        <v>0</v>
      </c>
      <c r="T3" s="86"/>
      <c r="U3" s="86" t="s">
        <v>49</v>
      </c>
      <c r="V3" s="86"/>
      <c r="W3" s="87" t="s">
        <v>61</v>
      </c>
      <c r="X3" s="88"/>
      <c r="Y3" s="80"/>
      <c r="AA3" s="18" t="s">
        <v>22</v>
      </c>
      <c r="AB3" s="86" t="s">
        <v>0</v>
      </c>
      <c r="AC3" s="86"/>
      <c r="AD3" s="89" t="s">
        <v>49</v>
      </c>
      <c r="AE3" s="89"/>
      <c r="AF3" s="87" t="s">
        <v>61</v>
      </c>
      <c r="AG3" s="88"/>
      <c r="AI3" s="18" t="s">
        <v>22</v>
      </c>
      <c r="AJ3" s="86" t="s">
        <v>0</v>
      </c>
      <c r="AK3" s="86"/>
      <c r="AL3" s="89" t="s">
        <v>49</v>
      </c>
      <c r="AM3" s="89"/>
      <c r="AN3" s="87" t="s">
        <v>61</v>
      </c>
      <c r="AO3" s="88"/>
      <c r="AQ3" s="18" t="s">
        <v>22</v>
      </c>
      <c r="AR3" s="86" t="s">
        <v>0</v>
      </c>
      <c r="AS3" s="86"/>
      <c r="AT3" s="89" t="s">
        <v>49</v>
      </c>
      <c r="AU3" s="89"/>
      <c r="AV3" s="87" t="s">
        <v>61</v>
      </c>
      <c r="AW3" s="88"/>
      <c r="AY3" s="18" t="s">
        <v>22</v>
      </c>
      <c r="AZ3" s="86" t="s">
        <v>0</v>
      </c>
      <c r="BA3" s="86"/>
      <c r="BB3" s="89" t="s">
        <v>49</v>
      </c>
      <c r="BC3" s="89"/>
      <c r="BD3" s="87" t="s">
        <v>61</v>
      </c>
      <c r="BE3" s="88"/>
      <c r="BJ3" s="18" t="s">
        <v>22</v>
      </c>
      <c r="BK3" s="86" t="s">
        <v>0</v>
      </c>
      <c r="BL3" s="86"/>
      <c r="BM3" s="89" t="s">
        <v>49</v>
      </c>
      <c r="BN3" s="89"/>
      <c r="BO3" s="87" t="s">
        <v>94</v>
      </c>
      <c r="BP3" s="88"/>
      <c r="CB3" s="18" t="s">
        <v>22</v>
      </c>
      <c r="CC3" s="86" t="s">
        <v>0</v>
      </c>
      <c r="CD3" s="86"/>
      <c r="CE3" s="89" t="s">
        <v>49</v>
      </c>
      <c r="CF3" s="89"/>
      <c r="CG3" s="87" t="s">
        <v>94</v>
      </c>
      <c r="CH3" s="88"/>
      <c r="CJ3" s="18" t="s">
        <v>22</v>
      </c>
      <c r="CK3" s="86" t="s">
        <v>0</v>
      </c>
      <c r="CL3" s="86"/>
      <c r="CM3" s="89" t="s">
        <v>49</v>
      </c>
      <c r="CN3" s="89"/>
      <c r="CO3" s="87" t="s">
        <v>94</v>
      </c>
      <c r="CP3" s="88"/>
      <c r="CR3" s="18" t="s">
        <v>22</v>
      </c>
      <c r="CS3" s="86" t="s">
        <v>0</v>
      </c>
      <c r="CT3" s="86"/>
      <c r="CU3" s="89" t="s">
        <v>49</v>
      </c>
      <c r="CV3" s="89"/>
      <c r="CW3" s="87" t="s">
        <v>94</v>
      </c>
      <c r="CX3" s="88"/>
      <c r="CZ3" s="18" t="s">
        <v>22</v>
      </c>
      <c r="DA3" s="86" t="s">
        <v>0</v>
      </c>
      <c r="DB3" s="86"/>
      <c r="DC3" s="89" t="s">
        <v>49</v>
      </c>
      <c r="DD3" s="89"/>
      <c r="DE3" s="87" t="s">
        <v>94</v>
      </c>
      <c r="DF3" s="88"/>
    </row>
    <row r="4" spans="2:110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2.247191011235955E-2</v>
      </c>
      <c r="CM4" s="57">
        <v>2</v>
      </c>
      <c r="CN4" s="58">
        <f>CM4/$BM$13</f>
        <v>9.5238095238095233E-2</v>
      </c>
      <c r="CO4" s="9">
        <v>4</v>
      </c>
      <c r="CP4" s="23">
        <f>CO4/$BO$13</f>
        <v>5.4054054054054057E-2</v>
      </c>
      <c r="CR4" s="8" t="s">
        <v>1</v>
      </c>
      <c r="CS4" s="9">
        <v>8</v>
      </c>
      <c r="CT4" s="10">
        <f>CS4/CS13</f>
        <v>9.0909090909090912E-2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  <c r="CZ4" s="8" t="s">
        <v>1</v>
      </c>
      <c r="DA4" s="9">
        <v>11</v>
      </c>
      <c r="DB4" s="10">
        <f>DA4/DA13</f>
        <v>7.4324324324324328E-2</v>
      </c>
      <c r="DC4" s="57">
        <v>1</v>
      </c>
      <c r="DD4" s="58">
        <f>DC4/$BM$13</f>
        <v>4.7619047619047616E-2</v>
      </c>
      <c r="DE4" s="9">
        <v>0</v>
      </c>
      <c r="DF4" s="23">
        <f>DE4/$BO$13</f>
        <v>0</v>
      </c>
    </row>
    <row r="5" spans="2:110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10</v>
      </c>
      <c r="CH5" s="25">
        <f>CG5/$BO$13</f>
        <v>0.13513513513513514</v>
      </c>
      <c r="CJ5" s="3" t="s">
        <v>2</v>
      </c>
      <c r="CK5" s="7">
        <v>34</v>
      </c>
      <c r="CL5" s="11">
        <f>CK5/CK13</f>
        <v>0.38202247191011235</v>
      </c>
      <c r="CM5" s="59">
        <v>6</v>
      </c>
      <c r="CN5" s="60">
        <f>CM5/$BM$13</f>
        <v>0.2857142857142857</v>
      </c>
      <c r="CO5" s="7">
        <v>2</v>
      </c>
      <c r="CP5" s="25">
        <f>CO5/$BO$13</f>
        <v>2.7027027027027029E-2</v>
      </c>
      <c r="CR5" s="3" t="s">
        <v>2</v>
      </c>
      <c r="CS5" s="7">
        <v>29</v>
      </c>
      <c r="CT5" s="11">
        <f>CS5/CS13</f>
        <v>0.32954545454545453</v>
      </c>
      <c r="CU5" s="59">
        <v>5</v>
      </c>
      <c r="CV5" s="60">
        <f>CU5/$BM$13</f>
        <v>0.23809523809523808</v>
      </c>
      <c r="CW5" s="7">
        <v>6</v>
      </c>
      <c r="CX5" s="25">
        <f>CW5/$BO$13</f>
        <v>8.1081081081081086E-2</v>
      </c>
      <c r="CZ5" s="3" t="s">
        <v>2</v>
      </c>
      <c r="DA5" s="7">
        <v>79</v>
      </c>
      <c r="DB5" s="11">
        <f>DA5/DA13</f>
        <v>0.53378378378378377</v>
      </c>
      <c r="DC5" s="59">
        <v>0</v>
      </c>
      <c r="DD5" s="60">
        <f>DC5/$BM$13</f>
        <v>0</v>
      </c>
      <c r="DE5" s="7">
        <v>3</v>
      </c>
      <c r="DF5" s="25">
        <f>DE5/$BO$13</f>
        <v>4.0540540540540543E-2</v>
      </c>
    </row>
    <row r="6" spans="2:110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5.6179775280898875E-2</v>
      </c>
      <c r="CM6" s="59">
        <v>1</v>
      </c>
      <c r="CN6" s="60">
        <f>CM6/$BM$13</f>
        <v>4.7619047619047616E-2</v>
      </c>
      <c r="CO6" s="7">
        <v>0</v>
      </c>
      <c r="CP6" s="25">
        <f>CO6/$BO$13</f>
        <v>0</v>
      </c>
      <c r="CR6" s="3" t="s">
        <v>21</v>
      </c>
      <c r="CS6" s="7">
        <v>9</v>
      </c>
      <c r="CT6" s="11">
        <f>CS6/CS13</f>
        <v>0.10227272727272728</v>
      </c>
      <c r="CU6" s="59">
        <v>0</v>
      </c>
      <c r="CV6" s="60">
        <f>CU6/$BM$13</f>
        <v>0</v>
      </c>
      <c r="CW6" s="7">
        <v>3</v>
      </c>
      <c r="CX6" s="25">
        <f>CW6/$BO$13</f>
        <v>4.0540540540540543E-2</v>
      </c>
      <c r="CZ6" s="3" t="s">
        <v>21</v>
      </c>
      <c r="DA6" s="7">
        <v>12</v>
      </c>
      <c r="DB6" s="11">
        <f>DA6/DA13</f>
        <v>8.1081081081081086E-2</v>
      </c>
      <c r="DC6" s="59">
        <v>1</v>
      </c>
      <c r="DD6" s="60">
        <f>DC6/$BM$13</f>
        <v>4.7619047619047616E-2</v>
      </c>
      <c r="DE6" s="7">
        <v>2</v>
      </c>
      <c r="DF6" s="25">
        <f>DE6/$BO$13</f>
        <v>2.7027027027027029E-2</v>
      </c>
    </row>
    <row r="7" spans="2:110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2.247191011235955E-2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3</v>
      </c>
      <c r="CT7" s="11">
        <f>CS7/CS13</f>
        <v>3.4090909090909088E-2</v>
      </c>
      <c r="CU7" s="59">
        <v>0</v>
      </c>
      <c r="CV7" s="60">
        <f t="shared" ref="CV7:CV11" si="23">CU7/$BM$13</f>
        <v>0</v>
      </c>
      <c r="CW7" s="7">
        <v>2</v>
      </c>
      <c r="CX7" s="25">
        <f t="shared" ref="CX7:CX11" si="24">CW7/$BO$13</f>
        <v>2.7027027027027029E-2</v>
      </c>
      <c r="CZ7" s="3" t="s">
        <v>91</v>
      </c>
      <c r="DA7" s="7">
        <v>2</v>
      </c>
      <c r="DB7" s="11">
        <f>DA7/DA13</f>
        <v>1.3513513513513514E-2</v>
      </c>
      <c r="DC7" s="59">
        <v>0</v>
      </c>
      <c r="DD7" s="60">
        <f t="shared" ref="DD7:DD11" si="25">DC7/$BM$13</f>
        <v>0</v>
      </c>
      <c r="DE7" s="7">
        <v>0</v>
      </c>
      <c r="DF7" s="25">
        <f t="shared" ref="DF7:DF11" si="26">DE7/$BO$13</f>
        <v>0</v>
      </c>
    </row>
    <row r="8" spans="2:110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  <c r="CZ8" s="3" t="s">
        <v>92</v>
      </c>
      <c r="DA8" s="7">
        <v>0</v>
      </c>
      <c r="DB8" s="11">
        <f>DA8/DA13</f>
        <v>0</v>
      </c>
      <c r="DC8" s="59">
        <v>0</v>
      </c>
      <c r="DD8" s="60">
        <f t="shared" si="25"/>
        <v>0</v>
      </c>
      <c r="DE8" s="7">
        <v>0</v>
      </c>
      <c r="DF8" s="25">
        <f t="shared" si="26"/>
        <v>0</v>
      </c>
    </row>
    <row r="9" spans="2:110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3</v>
      </c>
      <c r="CH9" s="25">
        <f t="shared" si="20"/>
        <v>4.0540540540540543E-2</v>
      </c>
      <c r="CJ9" s="3" t="s">
        <v>6</v>
      </c>
      <c r="CK9" s="7">
        <v>3</v>
      </c>
      <c r="CL9" s="11">
        <f>CK9/CK13</f>
        <v>3.3707865168539325E-2</v>
      </c>
      <c r="CM9" s="59">
        <v>1</v>
      </c>
      <c r="CN9" s="60">
        <f t="shared" si="21"/>
        <v>4.7619047619047616E-2</v>
      </c>
      <c r="CO9" s="7">
        <v>3</v>
      </c>
      <c r="CP9" s="25">
        <f t="shared" si="22"/>
        <v>4.0540540540540543E-2</v>
      </c>
      <c r="CR9" s="3" t="s">
        <v>6</v>
      </c>
      <c r="CS9" s="7">
        <v>2</v>
      </c>
      <c r="CT9" s="11">
        <f>CS9/CS13</f>
        <v>2.2727272727272728E-2</v>
      </c>
      <c r="CU9" s="59">
        <v>0</v>
      </c>
      <c r="CV9" s="60">
        <f t="shared" si="23"/>
        <v>0</v>
      </c>
      <c r="CW9" s="7">
        <v>1</v>
      </c>
      <c r="CX9" s="25">
        <f t="shared" si="24"/>
        <v>1.3513513513513514E-2</v>
      </c>
      <c r="CZ9" s="3" t="s">
        <v>6</v>
      </c>
      <c r="DA9" s="7">
        <v>0</v>
      </c>
      <c r="DB9" s="11">
        <f>DA9/DA13</f>
        <v>0</v>
      </c>
      <c r="DC9" s="59">
        <v>1</v>
      </c>
      <c r="DD9" s="60">
        <f t="shared" si="25"/>
        <v>4.7619047619047616E-2</v>
      </c>
      <c r="DE9" s="7">
        <v>0</v>
      </c>
      <c r="DF9" s="25">
        <f t="shared" si="26"/>
        <v>0</v>
      </c>
    </row>
    <row r="10" spans="2:110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8</v>
      </c>
      <c r="CT10" s="11">
        <f>CS10/CS13</f>
        <v>9.0909090909090912E-2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  <c r="CZ10" s="3" t="s">
        <v>7</v>
      </c>
      <c r="DA10" s="7">
        <v>0</v>
      </c>
      <c r="DB10" s="11">
        <f>DA10/DA13</f>
        <v>0</v>
      </c>
      <c r="DC10" s="59">
        <v>0</v>
      </c>
      <c r="DD10" s="60">
        <f t="shared" si="25"/>
        <v>0</v>
      </c>
      <c r="DE10" s="7">
        <v>1</v>
      </c>
      <c r="DF10" s="25">
        <f t="shared" si="26"/>
        <v>1.3513513513513514E-2</v>
      </c>
    </row>
    <row r="11" spans="2:110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41</v>
      </c>
      <c r="CL11" s="11">
        <f>CK11/CK13</f>
        <v>0.4606741573033708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27</v>
      </c>
      <c r="CT11" s="11">
        <f>CS11/CS13</f>
        <v>0.30681818181818182</v>
      </c>
      <c r="CU11" s="59">
        <v>0</v>
      </c>
      <c r="CV11" s="60">
        <f t="shared" si="23"/>
        <v>0</v>
      </c>
      <c r="CW11" s="7">
        <v>2</v>
      </c>
      <c r="CX11" s="25">
        <f t="shared" si="24"/>
        <v>2.7027027027027029E-2</v>
      </c>
      <c r="CZ11" s="3" t="s">
        <v>8</v>
      </c>
      <c r="DA11" s="7">
        <v>43</v>
      </c>
      <c r="DB11" s="11">
        <f>DA11/DA13</f>
        <v>0.29054054054054052</v>
      </c>
      <c r="DC11" s="59">
        <v>0</v>
      </c>
      <c r="DD11" s="60">
        <f t="shared" si="25"/>
        <v>0</v>
      </c>
      <c r="DE11" s="7">
        <v>3</v>
      </c>
      <c r="DF11" s="25">
        <f t="shared" si="26"/>
        <v>4.0540540540540543E-2</v>
      </c>
    </row>
    <row r="12" spans="2:110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2.247191011235955E-2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2</v>
      </c>
      <c r="CT12" s="12">
        <f>CS12/CS13</f>
        <v>2.2727272727272728E-2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  <c r="CZ12" s="4" t="s">
        <v>9</v>
      </c>
      <c r="DA12" s="6">
        <v>1</v>
      </c>
      <c r="DB12" s="12">
        <f>DA12/DA13</f>
        <v>6.7567567567567571E-3</v>
      </c>
      <c r="DC12" s="61">
        <v>0</v>
      </c>
      <c r="DD12" s="62">
        <f>DC12/$BM$13</f>
        <v>0</v>
      </c>
      <c r="DE12" s="6">
        <v>0</v>
      </c>
      <c r="DF12" s="14">
        <f>DE12/$BO$13</f>
        <v>0</v>
      </c>
    </row>
    <row r="13" spans="2:110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2">
        <f>SUM(BK4:BK12)</f>
        <v>224</v>
      </c>
      <c r="BL13" s="93"/>
      <c r="BM13" s="92">
        <f>SUM(BM4:BM12)</f>
        <v>21</v>
      </c>
      <c r="BN13" s="93"/>
      <c r="BO13" s="92">
        <f>SUM(BO4:BO12)</f>
        <v>74</v>
      </c>
      <c r="BP13" s="94"/>
      <c r="CB13" s="5" t="s">
        <v>25</v>
      </c>
      <c r="CC13" s="92">
        <f>SUM(CC4:CC12)</f>
        <v>194</v>
      </c>
      <c r="CD13" s="93"/>
      <c r="CE13" s="92">
        <f>SUM(CE4:CE12)</f>
        <v>8</v>
      </c>
      <c r="CF13" s="93"/>
      <c r="CG13" s="92">
        <f>SUM(CG4:CG12)</f>
        <v>28</v>
      </c>
      <c r="CH13" s="94"/>
      <c r="CJ13" s="5" t="s">
        <v>25</v>
      </c>
      <c r="CK13" s="92">
        <f>SUM(CK4:CK12)</f>
        <v>89</v>
      </c>
      <c r="CL13" s="93"/>
      <c r="CM13" s="92">
        <f>SUM(CM4:CM12)</f>
        <v>11</v>
      </c>
      <c r="CN13" s="93"/>
      <c r="CO13" s="92">
        <f>SUM(CO4:CO12)</f>
        <v>12</v>
      </c>
      <c r="CP13" s="94"/>
      <c r="CR13" s="5" t="s">
        <v>25</v>
      </c>
      <c r="CS13" s="92">
        <f>SUM(CS4:CS12)</f>
        <v>88</v>
      </c>
      <c r="CT13" s="93"/>
      <c r="CU13" s="92">
        <f>SUM(CU4:CU12)</f>
        <v>5</v>
      </c>
      <c r="CV13" s="93"/>
      <c r="CW13" s="92">
        <f>SUM(CW4:CW12)</f>
        <v>14</v>
      </c>
      <c r="CX13" s="94"/>
      <c r="CZ13" s="5" t="s">
        <v>25</v>
      </c>
      <c r="DA13" s="92">
        <f>SUM(DA4:DA12)</f>
        <v>148</v>
      </c>
      <c r="DB13" s="93"/>
      <c r="DC13" s="92">
        <f>SUM(DC4:DC12)</f>
        <v>3</v>
      </c>
      <c r="DD13" s="93"/>
      <c r="DE13" s="92">
        <f>SUM(DE4:DE12)</f>
        <v>9</v>
      </c>
      <c r="DF13" s="94"/>
    </row>
    <row r="14" spans="2:110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95">
        <f>BK13/($BK$13+$BM$13+$BO$13)</f>
        <v>0.70219435736677116</v>
      </c>
      <c r="BL14" s="96"/>
      <c r="BM14" s="95">
        <f>BM13/(BK13+$BM$13+$BO$13)</f>
        <v>6.5830721003134793E-2</v>
      </c>
      <c r="BN14" s="96"/>
      <c r="BO14" s="95">
        <f>BO13/($BK$13+$BM$13+$BO$13)</f>
        <v>0.23197492163009403</v>
      </c>
      <c r="BP14" s="96"/>
      <c r="CB14" s="19" t="s">
        <v>26</v>
      </c>
      <c r="CC14" s="95">
        <f>CC13/($CC$13+$CE$13+$CG$13)</f>
        <v>0.84347826086956523</v>
      </c>
      <c r="CD14" s="96"/>
      <c r="CE14" s="95">
        <f>CE13/(CC13+$CE$13+$CG$13)</f>
        <v>3.4782608695652174E-2</v>
      </c>
      <c r="CF14" s="96"/>
      <c r="CG14" s="95">
        <f>CG13/($CC$13+$CE$13+$CG$13)</f>
        <v>0.12173913043478261</v>
      </c>
      <c r="CH14" s="96"/>
      <c r="CJ14" s="19" t="s">
        <v>26</v>
      </c>
      <c r="CK14" s="95">
        <f>CK13/($CK$13+$CM$13+$CO$13)</f>
        <v>0.7946428571428571</v>
      </c>
      <c r="CL14" s="96"/>
      <c r="CM14" s="95">
        <f>CM13/(CK13+$CM$13+$CO$13)</f>
        <v>9.8214285714285712E-2</v>
      </c>
      <c r="CN14" s="96"/>
      <c r="CO14" s="95">
        <f>CO13/($CK$13+$CM$13+$CO$13)</f>
        <v>0.10714285714285714</v>
      </c>
      <c r="CP14" s="96"/>
      <c r="CR14" s="19" t="s">
        <v>26</v>
      </c>
      <c r="CS14" s="95">
        <f>CS13/($CS$13+$CU$13+$CW$13)</f>
        <v>0.82242990654205606</v>
      </c>
      <c r="CT14" s="96"/>
      <c r="CU14" s="95">
        <f>CU13/($CS$13+$CU$13+$CW$13)</f>
        <v>4.6728971962616821E-2</v>
      </c>
      <c r="CV14" s="96"/>
      <c r="CW14" s="95">
        <f>CW13/($CS$13+$CU$13+$CW$13)</f>
        <v>0.13084112149532709</v>
      </c>
      <c r="CX14" s="96"/>
      <c r="CZ14" s="19" t="s">
        <v>26</v>
      </c>
      <c r="DA14" s="95">
        <f>DA13/($DA$13+$DC$13+$DE$13)</f>
        <v>0.92500000000000004</v>
      </c>
      <c r="DB14" s="96"/>
      <c r="DC14" s="95">
        <f>DC13/($DA$13+$DC$13+$DE$13)</f>
        <v>1.8749999999999999E-2</v>
      </c>
      <c r="DD14" s="96"/>
      <c r="DE14" s="95">
        <f>DE13/($DA$13+$DC$13+$DE$13)</f>
        <v>5.6250000000000001E-2</v>
      </c>
      <c r="DF14" s="96"/>
    </row>
    <row r="15" spans="2:110" ht="15.75" thickBot="1" x14ac:dyDescent="0.3">
      <c r="B15" s="5" t="s">
        <v>25</v>
      </c>
      <c r="C15" s="92">
        <f>SUM(C4:C14)</f>
        <v>1079</v>
      </c>
      <c r="D15" s="93"/>
      <c r="E15" s="92">
        <f>SUM(E4:E14)</f>
        <v>32</v>
      </c>
      <c r="F15" s="93"/>
      <c r="G15" s="92">
        <f>SUM(G4:G14)</f>
        <v>24</v>
      </c>
      <c r="H15" s="94"/>
      <c r="J15" s="5" t="s">
        <v>25</v>
      </c>
      <c r="K15" s="92">
        <f>SUM(K4:K14)</f>
        <v>58</v>
      </c>
      <c r="L15" s="93"/>
      <c r="M15" s="92">
        <f>SUM(M4:M14)</f>
        <v>8</v>
      </c>
      <c r="N15" s="93"/>
      <c r="O15" s="92">
        <f>SUM(O4:O14)</f>
        <v>35</v>
      </c>
      <c r="P15" s="94"/>
      <c r="Q15" s="29"/>
      <c r="R15" s="5" t="s">
        <v>25</v>
      </c>
      <c r="S15" s="92">
        <f>SUM(S4:S14)</f>
        <v>1137</v>
      </c>
      <c r="T15" s="97"/>
      <c r="U15" s="92">
        <f>SUM(U4:U14)</f>
        <v>40</v>
      </c>
      <c r="V15" s="97"/>
      <c r="W15" s="98">
        <f>SUM(W4:W14)</f>
        <v>59</v>
      </c>
      <c r="X15" s="99"/>
      <c r="Y15" s="29"/>
      <c r="AA15" s="5" t="s">
        <v>25</v>
      </c>
      <c r="AB15" s="92">
        <f>SUM(AB4:AB14)</f>
        <v>329</v>
      </c>
      <c r="AC15" s="93"/>
      <c r="AD15" s="92">
        <f>SUM(AD4:AD14)</f>
        <v>29</v>
      </c>
      <c r="AE15" s="93"/>
      <c r="AF15" s="92">
        <f>SUM(AF4:AF14)</f>
        <v>27</v>
      </c>
      <c r="AG15" s="94"/>
      <c r="AI15" s="5" t="s">
        <v>25</v>
      </c>
      <c r="AJ15" s="92">
        <f>SUM(AJ4:AJ14)</f>
        <v>203</v>
      </c>
      <c r="AK15" s="93"/>
      <c r="AL15" s="92">
        <f>SUM(AL4:AL14)</f>
        <v>36</v>
      </c>
      <c r="AM15" s="93"/>
      <c r="AN15" s="92">
        <f>SUM(AN4:AN14)</f>
        <v>74</v>
      </c>
      <c r="AO15" s="94"/>
      <c r="AQ15" s="5" t="s">
        <v>25</v>
      </c>
      <c r="AR15" s="92">
        <f>SUM(AR4:AR14)</f>
        <v>152</v>
      </c>
      <c r="AS15" s="93"/>
      <c r="AT15" s="92">
        <f>SUM(AT4:AT14)</f>
        <v>58</v>
      </c>
      <c r="AU15" s="93"/>
      <c r="AV15" s="92">
        <f>SUM(AV4:AV14)</f>
        <v>79</v>
      </c>
      <c r="AW15" s="94"/>
      <c r="AY15" s="5" t="s">
        <v>25</v>
      </c>
      <c r="AZ15" s="92">
        <f>SUM(AZ4:AZ14)</f>
        <v>245</v>
      </c>
      <c r="BA15" s="93"/>
      <c r="BB15" s="92">
        <f>SUM(BB4:BB14)</f>
        <v>51</v>
      </c>
      <c r="BC15" s="93"/>
      <c r="BD15" s="92">
        <f>SUM(BD4:BD14)</f>
        <v>90</v>
      </c>
      <c r="BE15" s="94"/>
      <c r="BJ15" s="20" t="s">
        <v>23</v>
      </c>
      <c r="BK15" s="100">
        <v>0.8</v>
      </c>
      <c r="BL15" s="96"/>
      <c r="BM15" s="100">
        <v>0.05</v>
      </c>
      <c r="BN15" s="96"/>
      <c r="BO15" s="100">
        <v>0.15</v>
      </c>
      <c r="BP15" s="96"/>
      <c r="CB15" s="20" t="s">
        <v>23</v>
      </c>
      <c r="CC15" s="100">
        <v>0.8</v>
      </c>
      <c r="CD15" s="96"/>
      <c r="CE15" s="100">
        <v>0.05</v>
      </c>
      <c r="CF15" s="96"/>
      <c r="CG15" s="100">
        <v>0.15</v>
      </c>
      <c r="CH15" s="96"/>
      <c r="CJ15" s="20" t="s">
        <v>23</v>
      </c>
      <c r="CK15" s="100">
        <v>0.8</v>
      </c>
      <c r="CL15" s="96"/>
      <c r="CM15" s="100">
        <v>0.05</v>
      </c>
      <c r="CN15" s="96"/>
      <c r="CO15" s="100">
        <v>0.15</v>
      </c>
      <c r="CP15" s="96"/>
      <c r="CR15" s="20" t="s">
        <v>23</v>
      </c>
      <c r="CS15" s="100">
        <v>0.8</v>
      </c>
      <c r="CT15" s="96"/>
      <c r="CU15" s="100">
        <v>0.05</v>
      </c>
      <c r="CV15" s="96"/>
      <c r="CW15" s="100">
        <v>0.15</v>
      </c>
      <c r="CX15" s="96"/>
      <c r="CZ15" s="20" t="s">
        <v>23</v>
      </c>
      <c r="DA15" s="100">
        <v>0.8</v>
      </c>
      <c r="DB15" s="96"/>
      <c r="DC15" s="100">
        <v>0.05</v>
      </c>
      <c r="DD15" s="96"/>
      <c r="DE15" s="100">
        <v>0.15</v>
      </c>
      <c r="DF15" s="96"/>
    </row>
    <row r="16" spans="2:110" ht="15.75" thickBot="1" x14ac:dyDescent="0.3">
      <c r="B16" s="19" t="s">
        <v>26</v>
      </c>
      <c r="C16" s="95">
        <f>C15/($C$15+$E$15+$G$15)</f>
        <v>0.95066079295154182</v>
      </c>
      <c r="D16" s="101"/>
      <c r="E16" s="95">
        <f>E15/($C$15+$E$15+$G$15)</f>
        <v>2.8193832599118944E-2</v>
      </c>
      <c r="F16" s="101"/>
      <c r="G16" s="95">
        <f>G15/($C$15+$E$15+$G$15)</f>
        <v>2.1145374449339206E-2</v>
      </c>
      <c r="H16" s="96"/>
      <c r="I16" s="52"/>
      <c r="J16" s="19" t="s">
        <v>26</v>
      </c>
      <c r="K16" s="95">
        <f>K15/($K$15+$M$15+$O$15)</f>
        <v>0.57425742574257421</v>
      </c>
      <c r="L16" s="101"/>
      <c r="M16" s="95">
        <f>M15/($K$15+$M$15+$O$15)</f>
        <v>7.9207920792079209E-2</v>
      </c>
      <c r="N16" s="96"/>
      <c r="O16" s="95">
        <f>O15/($K$15+$M$15+$O$15)</f>
        <v>0.34653465346534651</v>
      </c>
      <c r="P16" s="96"/>
      <c r="Q16" s="53"/>
      <c r="R16" s="19" t="s">
        <v>26</v>
      </c>
      <c r="S16" s="95">
        <f>S15/($S$15+$U$15+$W$15)</f>
        <v>0.91990291262135926</v>
      </c>
      <c r="T16" s="96"/>
      <c r="U16" s="95">
        <f>U15/($S$15+$U$15+$W$15)</f>
        <v>3.2362459546925564E-2</v>
      </c>
      <c r="V16" s="96"/>
      <c r="W16" s="95">
        <f>W15/($S$15+$U$15+$W$15)</f>
        <v>4.7734627831715212E-2</v>
      </c>
      <c r="X16" s="96"/>
      <c r="Y16" s="53"/>
      <c r="Z16" s="52"/>
      <c r="AA16" s="19" t="s">
        <v>26</v>
      </c>
      <c r="AB16" s="95">
        <f>AB15/($AB$15+$AD$15+$AF$15)</f>
        <v>0.8545454545454545</v>
      </c>
      <c r="AC16" s="96"/>
      <c r="AD16" s="95">
        <f>AD15/($AB$15+$AD$15+$AF$15)</f>
        <v>7.5324675324675322E-2</v>
      </c>
      <c r="AE16" s="96"/>
      <c r="AF16" s="95">
        <f>AF15/($AB$15+$AD$15+$AF$15)</f>
        <v>7.0129870129870125E-2</v>
      </c>
      <c r="AG16" s="96"/>
      <c r="AI16" s="19" t="s">
        <v>26</v>
      </c>
      <c r="AJ16" s="95">
        <f>AJ15/($AJ$15+$AL$15+$AN$15)</f>
        <v>0.6485623003194888</v>
      </c>
      <c r="AK16" s="96"/>
      <c r="AL16" s="95">
        <f>AL15/($AJ$15+$AL$15+$AN$15)</f>
        <v>0.11501597444089456</v>
      </c>
      <c r="AM16" s="96"/>
      <c r="AN16" s="95">
        <f>AN15/($AJ$15+$AL$15+$AN$15)</f>
        <v>0.2364217252396166</v>
      </c>
      <c r="AO16" s="96"/>
      <c r="AQ16" s="19" t="s">
        <v>26</v>
      </c>
      <c r="AR16" s="95">
        <f>AR15/($AR$15+$AT$15+$AV$15)</f>
        <v>0.52595155709342556</v>
      </c>
      <c r="AS16" s="96"/>
      <c r="AT16" s="95">
        <f t="shared" ref="AT16" si="27">AT15/($AR$15+$AT$15+$AV$15)</f>
        <v>0.20069204152249134</v>
      </c>
      <c r="AU16" s="96"/>
      <c r="AV16" s="95">
        <f t="shared" ref="AV16" si="28">AV15/($AR$15+$AT$15+$AV$15)</f>
        <v>0.27335640138408307</v>
      </c>
      <c r="AW16" s="96"/>
      <c r="AY16" s="19" t="s">
        <v>26</v>
      </c>
      <c r="AZ16" s="95">
        <f>AZ15/($AZ$15+$BB$15+$BD$15)</f>
        <v>0.63471502590673579</v>
      </c>
      <c r="BA16" s="96"/>
      <c r="BB16" s="95">
        <f>BB15/($AZ$15+$BB$15+$BD$15)</f>
        <v>0.13212435233160622</v>
      </c>
      <c r="BC16" s="96"/>
      <c r="BD16" s="95">
        <f>BD15/($AZ$15+$BB$15+$BD$15)</f>
        <v>0.23316062176165803</v>
      </c>
      <c r="BE16" s="96"/>
      <c r="BJ16" s="21" t="s">
        <v>24</v>
      </c>
      <c r="BK16" s="102">
        <f>BK14-BK15</f>
        <v>-9.7805642633228884E-2</v>
      </c>
      <c r="BL16" s="103"/>
      <c r="BM16" s="102">
        <f>BM15-BM14</f>
        <v>-1.583072100313479E-2</v>
      </c>
      <c r="BN16" s="103"/>
      <c r="BO16" s="102">
        <f>BO15-BO14</f>
        <v>-8.1974921630094039E-2</v>
      </c>
      <c r="BP16" s="103"/>
      <c r="CB16" s="21" t="s">
        <v>24</v>
      </c>
      <c r="CC16" s="102">
        <f>CC14-CC15</f>
        <v>4.3478260869565188E-2</v>
      </c>
      <c r="CD16" s="103"/>
      <c r="CE16" s="102">
        <f>CE15-CE14</f>
        <v>1.5217391304347828E-2</v>
      </c>
      <c r="CF16" s="103"/>
      <c r="CG16" s="102">
        <f>CG15-CG14</f>
        <v>2.8260869565217381E-2</v>
      </c>
      <c r="CH16" s="103"/>
      <c r="CJ16" s="21" t="s">
        <v>24</v>
      </c>
      <c r="CK16" s="102">
        <f>CK14-CK15</f>
        <v>-5.3571428571429491E-3</v>
      </c>
      <c r="CL16" s="103"/>
      <c r="CM16" s="102">
        <f>CM15-CM14</f>
        <v>-4.821428571428571E-2</v>
      </c>
      <c r="CN16" s="103"/>
      <c r="CO16" s="102">
        <f>CO15-CO14</f>
        <v>4.2857142857142858E-2</v>
      </c>
      <c r="CP16" s="103"/>
      <c r="CR16" s="21" t="s">
        <v>24</v>
      </c>
      <c r="CS16" s="102">
        <f>CS14-CS15</f>
        <v>2.2429906542056011E-2</v>
      </c>
      <c r="CT16" s="103"/>
      <c r="CU16" s="102">
        <f>CU15-CU14</f>
        <v>3.2710280373831821E-3</v>
      </c>
      <c r="CV16" s="103"/>
      <c r="CW16" s="102">
        <f>CW15-CW14</f>
        <v>1.9158878504672905E-2</v>
      </c>
      <c r="CX16" s="103"/>
      <c r="CZ16" s="21" t="s">
        <v>24</v>
      </c>
      <c r="DA16" s="102">
        <f>DA14-DA15</f>
        <v>0.125</v>
      </c>
      <c r="DB16" s="103"/>
      <c r="DC16" s="102">
        <f>DC15-DC14</f>
        <v>3.125E-2</v>
      </c>
      <c r="DD16" s="103"/>
      <c r="DE16" s="102">
        <f>DE15-DE14</f>
        <v>9.375E-2</v>
      </c>
      <c r="DF16" s="103"/>
    </row>
    <row r="17" spans="2:110" ht="15.75" thickBot="1" x14ac:dyDescent="0.3">
      <c r="B17" s="20" t="s">
        <v>23</v>
      </c>
      <c r="C17" s="100">
        <v>0.85</v>
      </c>
      <c r="D17" s="104"/>
      <c r="E17" s="100">
        <v>0.1</v>
      </c>
      <c r="F17" s="104"/>
      <c r="G17" s="100">
        <v>0.05</v>
      </c>
      <c r="H17" s="96"/>
      <c r="I17" s="52"/>
      <c r="J17" s="20" t="s">
        <v>23</v>
      </c>
      <c r="K17" s="100">
        <v>0.85</v>
      </c>
      <c r="L17" s="104"/>
      <c r="M17" s="100">
        <v>0.1</v>
      </c>
      <c r="N17" s="96"/>
      <c r="O17" s="100">
        <v>0.05</v>
      </c>
      <c r="P17" s="96"/>
      <c r="Q17" s="53"/>
      <c r="R17" s="20" t="s">
        <v>23</v>
      </c>
      <c r="S17" s="100">
        <v>0.85</v>
      </c>
      <c r="T17" s="96"/>
      <c r="U17" s="100">
        <v>0.1</v>
      </c>
      <c r="V17" s="96"/>
      <c r="W17" s="100">
        <v>0.05</v>
      </c>
      <c r="X17" s="96"/>
      <c r="Y17" s="53"/>
      <c r="Z17" s="52"/>
      <c r="AA17" s="20" t="s">
        <v>23</v>
      </c>
      <c r="AB17" s="100">
        <v>0.85</v>
      </c>
      <c r="AC17" s="96"/>
      <c r="AD17" s="100">
        <v>0.1</v>
      </c>
      <c r="AE17" s="96"/>
      <c r="AF17" s="100">
        <v>0.05</v>
      </c>
      <c r="AG17" s="96"/>
      <c r="AI17" s="20" t="s">
        <v>23</v>
      </c>
      <c r="AJ17" s="100">
        <v>0.85</v>
      </c>
      <c r="AK17" s="96"/>
      <c r="AL17" s="100">
        <v>0.1</v>
      </c>
      <c r="AM17" s="96"/>
      <c r="AN17" s="100">
        <v>0.05</v>
      </c>
      <c r="AO17" s="96"/>
      <c r="AQ17" s="20" t="s">
        <v>23</v>
      </c>
      <c r="AR17" s="100">
        <v>0.85</v>
      </c>
      <c r="AS17" s="96"/>
      <c r="AT17" s="100">
        <v>0.1</v>
      </c>
      <c r="AU17" s="96"/>
      <c r="AV17" s="100">
        <v>0.05</v>
      </c>
      <c r="AW17" s="96"/>
      <c r="AY17" s="20" t="s">
        <v>23</v>
      </c>
      <c r="AZ17" s="100">
        <v>0.8</v>
      </c>
      <c r="BA17" s="96"/>
      <c r="BB17" s="100">
        <v>0.05</v>
      </c>
      <c r="BC17" s="96"/>
      <c r="BD17" s="100">
        <v>0.15</v>
      </c>
      <c r="BE17" s="96"/>
    </row>
    <row r="18" spans="2:110" ht="15.75" thickBot="1" x14ac:dyDescent="0.3">
      <c r="B18" s="21" t="s">
        <v>24</v>
      </c>
      <c r="C18" s="102">
        <f>C16-C17</f>
        <v>0.10066079295154184</v>
      </c>
      <c r="D18" s="103"/>
      <c r="E18" s="102">
        <f>E17-E16</f>
        <v>7.1806167400881055E-2</v>
      </c>
      <c r="F18" s="103"/>
      <c r="G18" s="102">
        <f>G17-G16</f>
        <v>2.8854625550660797E-2</v>
      </c>
      <c r="H18" s="103"/>
      <c r="I18" s="52"/>
      <c r="J18" s="21" t="s">
        <v>24</v>
      </c>
      <c r="K18" s="102">
        <f>K16-K17</f>
        <v>-0.27574257425742577</v>
      </c>
      <c r="L18" s="103"/>
      <c r="M18" s="102">
        <f>M17-M16</f>
        <v>2.0792079207920797E-2</v>
      </c>
      <c r="N18" s="103"/>
      <c r="O18" s="102">
        <f>O17-O16</f>
        <v>-0.29653465346534652</v>
      </c>
      <c r="P18" s="103"/>
      <c r="Q18" s="53"/>
      <c r="R18" s="21" t="s">
        <v>24</v>
      </c>
      <c r="S18" s="102">
        <f>S16-S17</f>
        <v>6.9902912621359281E-2</v>
      </c>
      <c r="T18" s="103"/>
      <c r="U18" s="102">
        <f>U17-U16</f>
        <v>6.7637540453074435E-2</v>
      </c>
      <c r="V18" s="103"/>
      <c r="W18" s="102">
        <f>W17-W16</f>
        <v>2.2653721682847905E-3</v>
      </c>
      <c r="X18" s="103"/>
      <c r="Y18" s="53"/>
      <c r="Z18" s="52"/>
      <c r="AA18" s="21" t="s">
        <v>24</v>
      </c>
      <c r="AB18" s="102">
        <f>AB16-AB17</f>
        <v>4.5454545454545192E-3</v>
      </c>
      <c r="AC18" s="103"/>
      <c r="AD18" s="102">
        <f>AD17-AD16</f>
        <v>2.4675324675324684E-2</v>
      </c>
      <c r="AE18" s="103"/>
      <c r="AF18" s="102">
        <f>AF17-AF16</f>
        <v>-2.0129870129870123E-2</v>
      </c>
      <c r="AG18" s="103"/>
      <c r="AI18" s="21" t="s">
        <v>24</v>
      </c>
      <c r="AJ18" s="102">
        <f>AJ16-AJ17</f>
        <v>-0.20143769968051117</v>
      </c>
      <c r="AK18" s="103"/>
      <c r="AL18" s="102">
        <f>AL17-AL16</f>
        <v>-1.5015974440894558E-2</v>
      </c>
      <c r="AM18" s="103"/>
      <c r="AN18" s="102">
        <f>AN17-AN16</f>
        <v>-0.18642172523961659</v>
      </c>
      <c r="AO18" s="103"/>
      <c r="AQ18" s="21" t="s">
        <v>24</v>
      </c>
      <c r="AR18" s="102">
        <f>AR16-AR17</f>
        <v>-0.32404844290657442</v>
      </c>
      <c r="AS18" s="103"/>
      <c r="AT18" s="102">
        <f>AT17-AT16</f>
        <v>-0.10069204152249134</v>
      </c>
      <c r="AU18" s="103"/>
      <c r="AV18" s="102">
        <f>AV17-AV16</f>
        <v>-0.22335640138408308</v>
      </c>
      <c r="AW18" s="103"/>
      <c r="AY18" s="21" t="s">
        <v>24</v>
      </c>
      <c r="AZ18" s="102">
        <f>AZ16-AZ17</f>
        <v>-0.16528497409326426</v>
      </c>
      <c r="BA18" s="103"/>
      <c r="BB18" s="102">
        <f>BB17-BB16</f>
        <v>-8.2124352331606212E-2</v>
      </c>
      <c r="BC18" s="103"/>
      <c r="BD18" s="102">
        <f>BD17-BD16</f>
        <v>-8.3160621761658032E-2</v>
      </c>
      <c r="BE18" s="103"/>
      <c r="BK18" t="s">
        <v>0</v>
      </c>
      <c r="BM18" t="s">
        <v>49</v>
      </c>
      <c r="BO18" s="105" t="s">
        <v>61</v>
      </c>
      <c r="BP18" s="106"/>
      <c r="BU18" t="s">
        <v>0</v>
      </c>
      <c r="BW18" t="s">
        <v>49</v>
      </c>
      <c r="BY18" s="105" t="s">
        <v>61</v>
      </c>
      <c r="BZ18" s="106"/>
      <c r="CC18" t="s">
        <v>0</v>
      </c>
      <c r="CE18" t="s">
        <v>49</v>
      </c>
      <c r="CG18" s="105" t="s">
        <v>61</v>
      </c>
      <c r="CH18" s="106"/>
      <c r="CK18" t="s">
        <v>0</v>
      </c>
      <c r="CM18" t="s">
        <v>49</v>
      </c>
      <c r="CO18" s="105" t="s">
        <v>61</v>
      </c>
      <c r="CP18" s="106"/>
      <c r="CS18" t="s">
        <v>0</v>
      </c>
      <c r="CU18" t="s">
        <v>49</v>
      </c>
      <c r="CW18" s="105" t="s">
        <v>61</v>
      </c>
      <c r="CX18" s="106"/>
      <c r="DA18" t="s">
        <v>0</v>
      </c>
      <c r="DC18" t="s">
        <v>49</v>
      </c>
      <c r="DE18" s="105" t="s">
        <v>61</v>
      </c>
      <c r="DF18" s="106"/>
    </row>
    <row r="19" spans="2:110" ht="15" x14ac:dyDescent="0.25">
      <c r="AZ19" t="s">
        <v>0</v>
      </c>
      <c r="BB19" t="s">
        <v>49</v>
      </c>
      <c r="BD19" s="105" t="s">
        <v>61</v>
      </c>
      <c r="BE19" s="106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0.84347826086956523</v>
      </c>
      <c r="CE19" s="22">
        <f>CE14</f>
        <v>3.4782608695652174E-2</v>
      </c>
      <c r="CG19" s="22">
        <f>CG14</f>
        <v>0.12173913043478261</v>
      </c>
      <c r="CJ19" s="76" t="str">
        <f>CJ2</f>
        <v>7.4.x</v>
      </c>
      <c r="CK19" s="22">
        <f>CK14</f>
        <v>0.7946428571428571</v>
      </c>
      <c r="CM19" s="22">
        <f>CM14</f>
        <v>9.8214285714285712E-2</v>
      </c>
      <c r="CO19" s="22">
        <f>CO14</f>
        <v>0.10714285714285714</v>
      </c>
      <c r="CR19" s="76" t="str">
        <f>CR2</f>
        <v>7.5.x</v>
      </c>
      <c r="CS19" s="22">
        <f>CS14</f>
        <v>0.82242990654205606</v>
      </c>
      <c r="CU19" s="22">
        <f>CU14</f>
        <v>4.6728971962616821E-2</v>
      </c>
      <c r="CW19" s="22">
        <f>CW14</f>
        <v>0.13084112149532709</v>
      </c>
      <c r="CZ19" s="76" t="str">
        <f>CZ2</f>
        <v>7.6.x</v>
      </c>
      <c r="DA19" s="22">
        <f>DA14</f>
        <v>0.92500000000000004</v>
      </c>
      <c r="DC19" s="22">
        <f>DC14</f>
        <v>1.8749999999999999E-2</v>
      </c>
      <c r="DE19" s="22">
        <f>DE14</f>
        <v>5.6250000000000001E-2</v>
      </c>
    </row>
    <row r="20" spans="2:110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10" ht="15" x14ac:dyDescent="0.25">
      <c r="BT21" s="76" t="str">
        <f>CB19</f>
        <v>7.3.x</v>
      </c>
      <c r="BU21" s="28">
        <f t="shared" ref="BU21:BY21" si="29">CC19</f>
        <v>0.84347826086956523</v>
      </c>
      <c r="BV21" s="28"/>
      <c r="BW21" s="28">
        <f t="shared" si="29"/>
        <v>3.4782608695652174E-2</v>
      </c>
      <c r="BX21" s="28"/>
      <c r="BY21" s="28">
        <f t="shared" si="29"/>
        <v>0.12173913043478261</v>
      </c>
      <c r="BZ21" s="76"/>
    </row>
    <row r="22" spans="2:110" ht="15" x14ac:dyDescent="0.25">
      <c r="C22" t="s">
        <v>0</v>
      </c>
      <c r="E22" t="s">
        <v>49</v>
      </c>
      <c r="G22" s="107" t="s">
        <v>61</v>
      </c>
      <c r="H22" s="108"/>
      <c r="BT22" s="76" t="str">
        <f>CJ19</f>
        <v>7.4.x</v>
      </c>
      <c r="BU22" s="28">
        <f t="shared" ref="BU22:BY22" si="30">CK19</f>
        <v>0.7946428571428571</v>
      </c>
      <c r="BV22" s="28"/>
      <c r="BW22" s="28">
        <f t="shared" si="30"/>
        <v>9.8214285714285712E-2</v>
      </c>
      <c r="BX22" s="28"/>
      <c r="BY22" s="28">
        <f t="shared" si="30"/>
        <v>0.10714285714285714</v>
      </c>
    </row>
    <row r="23" spans="2:110" ht="15" x14ac:dyDescent="0.25">
      <c r="G23" s="79"/>
      <c r="H23" s="80"/>
      <c r="BT23" s="76" t="str">
        <f>CR19</f>
        <v>7.5.x</v>
      </c>
      <c r="BU23" s="28">
        <f>CS19</f>
        <v>0.82242990654205606</v>
      </c>
      <c r="BV23" s="28"/>
      <c r="BW23" s="28">
        <f>CU19</f>
        <v>4.6728971962616821E-2</v>
      </c>
      <c r="BX23" s="28"/>
      <c r="BY23" s="28">
        <f>CW19</f>
        <v>0.13084112149532709</v>
      </c>
    </row>
    <row r="24" spans="2:110" ht="15" x14ac:dyDescent="0.25">
      <c r="G24" s="81"/>
      <c r="H24" s="82"/>
      <c r="BT24" s="76" t="str">
        <f>CZ19</f>
        <v>7.6.x</v>
      </c>
      <c r="BU24" s="28">
        <f>DA19</f>
        <v>0.92500000000000004</v>
      </c>
      <c r="BV24" s="28"/>
      <c r="BW24" s="28">
        <f>DC19</f>
        <v>1.8749999999999999E-2</v>
      </c>
      <c r="BX24" s="28"/>
      <c r="BY24" s="28">
        <f>DE19</f>
        <v>5.6250000000000001E-2</v>
      </c>
    </row>
    <row r="25" spans="2:110" x14ac:dyDescent="0.3">
      <c r="G25" s="81"/>
      <c r="H25" s="82"/>
      <c r="BT25" s="76"/>
      <c r="BU25" s="28"/>
      <c r="BV25" s="28"/>
      <c r="BW25" s="28"/>
      <c r="BX25" s="28"/>
      <c r="BY25" s="28"/>
    </row>
    <row r="26" spans="2:110" x14ac:dyDescent="0.3">
      <c r="G26" s="81"/>
      <c r="H26" s="82"/>
      <c r="BT26" s="76"/>
      <c r="BU26" s="28"/>
      <c r="BV26" s="28"/>
      <c r="BW26" s="28"/>
      <c r="BX26" s="28"/>
      <c r="BY26" s="28"/>
    </row>
    <row r="27" spans="2:110" x14ac:dyDescent="0.3">
      <c r="B27" t="s">
        <v>43</v>
      </c>
      <c r="C27" s="22">
        <f>C16</f>
        <v>0.95066079295154182</v>
      </c>
      <c r="E27" s="22">
        <f>E16</f>
        <v>2.8193832599118944E-2</v>
      </c>
      <c r="G27" s="22">
        <f>G16</f>
        <v>2.1145374449339206E-2</v>
      </c>
    </row>
    <row r="28" spans="2:110" x14ac:dyDescent="0.3">
      <c r="B28" t="s">
        <v>44</v>
      </c>
      <c r="C28" s="22">
        <f>K16</f>
        <v>0.57425742574257421</v>
      </c>
      <c r="E28" s="22">
        <f>M16</f>
        <v>7.9207920792079209E-2</v>
      </c>
      <c r="G28" s="22">
        <f>O16</f>
        <v>0.34653465346534651</v>
      </c>
    </row>
    <row r="29" spans="2:110" x14ac:dyDescent="0.3">
      <c r="B29" t="s">
        <v>60</v>
      </c>
      <c r="C29" s="22">
        <f>S16</f>
        <v>0.91990291262135926</v>
      </c>
      <c r="E29" s="22">
        <f>U16</f>
        <v>3.2362459546925564E-2</v>
      </c>
      <c r="G29" s="22">
        <f>W16</f>
        <v>4.7734627831715212E-2</v>
      </c>
    </row>
    <row r="30" spans="2:110" x14ac:dyDescent="0.3">
      <c r="B30" s="56">
        <v>6.6</v>
      </c>
      <c r="C30" s="22">
        <f>AB16</f>
        <v>0.8545454545454545</v>
      </c>
      <c r="E30" s="22">
        <f>AD16</f>
        <v>7.5324675324675322E-2</v>
      </c>
      <c r="G30" s="28">
        <f>AF16</f>
        <v>7.0129870129870125E-2</v>
      </c>
    </row>
    <row r="31" spans="2:110" x14ac:dyDescent="0.3">
      <c r="B31" s="56">
        <v>6.7</v>
      </c>
      <c r="C31" s="22">
        <f>AJ16</f>
        <v>0.6485623003194888</v>
      </c>
      <c r="E31" s="22">
        <f>AL16</f>
        <v>0.11501597444089456</v>
      </c>
      <c r="G31" s="28">
        <f>AN16</f>
        <v>0.2364217252396166</v>
      </c>
    </row>
    <row r="32" spans="2:110" x14ac:dyDescent="0.3">
      <c r="B32" s="56" t="s">
        <v>74</v>
      </c>
      <c r="C32" s="22">
        <f>AR16</f>
        <v>0.52595155709342556</v>
      </c>
      <c r="E32" s="22">
        <f>AT16</f>
        <v>0.20069204152249134</v>
      </c>
      <c r="G32" s="28">
        <f>AV16</f>
        <v>0.27335640138408307</v>
      </c>
    </row>
    <row r="33" spans="2:8" x14ac:dyDescent="0.3">
      <c r="B33" t="s">
        <v>45</v>
      </c>
      <c r="C33" s="22">
        <f>C69</f>
        <v>0.82072829131652658</v>
      </c>
      <c r="E33" s="22">
        <f>E69</f>
        <v>8.4033613445378158E-2</v>
      </c>
      <c r="G33" s="28">
        <f>G69</f>
        <v>9.5238095238095233E-2</v>
      </c>
    </row>
    <row r="34" spans="2:8" x14ac:dyDescent="0.3">
      <c r="B34" t="s">
        <v>42</v>
      </c>
      <c r="C34" s="22">
        <f>K86</f>
        <v>0.97068771138669674</v>
      </c>
      <c r="E34" s="22">
        <f>M86</f>
        <v>9.0191657271702363E-3</v>
      </c>
      <c r="G34" s="28">
        <f>O86</f>
        <v>2.0293122886133032E-2</v>
      </c>
    </row>
    <row r="35" spans="2:8" x14ac:dyDescent="0.3">
      <c r="B35" t="s">
        <v>46</v>
      </c>
      <c r="C35" s="22">
        <f>S86</f>
        <v>0.95198675496688745</v>
      </c>
      <c r="E35" s="22">
        <f>U86</f>
        <v>3.4768211920529798E-2</v>
      </c>
      <c r="G35" s="28">
        <f>W86</f>
        <v>1.3245033112582781E-2</v>
      </c>
    </row>
    <row r="36" spans="2:8" x14ac:dyDescent="0.3">
      <c r="B36" t="s">
        <v>64</v>
      </c>
      <c r="C36" s="22">
        <f>AB86</f>
        <v>0.73888888888888893</v>
      </c>
      <c r="E36" s="22">
        <f>AD86</f>
        <v>6.6666666666666666E-2</v>
      </c>
      <c r="G36" s="28">
        <f>AF86</f>
        <v>0.19444444444444445</v>
      </c>
    </row>
    <row r="37" spans="2:8" x14ac:dyDescent="0.3">
      <c r="B37" t="s">
        <v>65</v>
      </c>
      <c r="C37" s="22">
        <f>AJ86</f>
        <v>0.97576530612244894</v>
      </c>
      <c r="E37" s="22">
        <f>AL86</f>
        <v>1.2755102040816327E-2</v>
      </c>
      <c r="G37" s="28">
        <f>AN86</f>
        <v>1.1479591836734694E-2</v>
      </c>
    </row>
    <row r="39" spans="2:8" x14ac:dyDescent="0.3">
      <c r="C39" t="s">
        <v>0</v>
      </c>
      <c r="E39" t="s">
        <v>49</v>
      </c>
      <c r="G39" s="107" t="s">
        <v>61</v>
      </c>
      <c r="H39" s="108"/>
    </row>
    <row r="40" spans="2:8" x14ac:dyDescent="0.3">
      <c r="B40" t="s">
        <v>43</v>
      </c>
      <c r="C40" s="27">
        <v>1079</v>
      </c>
      <c r="D40" s="27"/>
      <c r="E40" s="27">
        <v>57</v>
      </c>
      <c r="F40" s="27"/>
      <c r="G40" s="27">
        <v>0</v>
      </c>
    </row>
    <row r="41" spans="2:8" x14ac:dyDescent="0.3">
      <c r="B41" t="s">
        <v>44</v>
      </c>
      <c r="C41" s="27">
        <v>125</v>
      </c>
      <c r="D41" s="27"/>
      <c r="E41" s="27">
        <v>0</v>
      </c>
      <c r="F41" s="27"/>
      <c r="G41" s="27">
        <v>0</v>
      </c>
    </row>
    <row r="42" spans="2:8" x14ac:dyDescent="0.3">
      <c r="B42" s="56">
        <v>6.6</v>
      </c>
      <c r="C42" s="27">
        <v>0</v>
      </c>
      <c r="D42" s="27"/>
      <c r="E42" s="27">
        <v>0</v>
      </c>
      <c r="F42" s="27"/>
      <c r="G42" s="27">
        <v>0</v>
      </c>
    </row>
    <row r="43" spans="2:8" x14ac:dyDescent="0.3">
      <c r="B43" t="s">
        <v>45</v>
      </c>
      <c r="C43" s="27">
        <v>194.333333333333</v>
      </c>
      <c r="D43" s="27"/>
      <c r="E43" s="27">
        <v>45</v>
      </c>
      <c r="F43" s="27"/>
      <c r="G43" s="27">
        <v>9</v>
      </c>
    </row>
    <row r="44" spans="2:8" x14ac:dyDescent="0.3">
      <c r="B44" t="s">
        <v>42</v>
      </c>
      <c r="C44" s="27">
        <v>150.333333333333</v>
      </c>
      <c r="D44" s="27"/>
      <c r="E44" s="27">
        <v>31</v>
      </c>
      <c r="F44" s="27"/>
      <c r="G44" s="27">
        <v>-9</v>
      </c>
    </row>
    <row r="45" spans="2:8" x14ac:dyDescent="0.3">
      <c r="B45" t="s">
        <v>46</v>
      </c>
      <c r="C45" s="27">
        <v>106.333333333333</v>
      </c>
      <c r="D45" s="27"/>
      <c r="E45" s="27">
        <v>17</v>
      </c>
      <c r="F45" s="27"/>
      <c r="G45" s="27">
        <v>-27</v>
      </c>
    </row>
    <row r="49" spans="2:77" ht="18.600000000000001" thickBot="1" x14ac:dyDescent="0.4">
      <c r="B49" s="1" t="s">
        <v>47</v>
      </c>
      <c r="J49" s="1" t="s">
        <v>42</v>
      </c>
      <c r="R49" s="1" t="s">
        <v>46</v>
      </c>
      <c r="AA49" s="1" t="s">
        <v>64</v>
      </c>
      <c r="AI49" s="1" t="s">
        <v>65</v>
      </c>
    </row>
    <row r="50" spans="2:77" ht="15" thickBot="1" x14ac:dyDescent="0.35">
      <c r="B50" s="18" t="s">
        <v>22</v>
      </c>
      <c r="C50" s="86" t="s">
        <v>0</v>
      </c>
      <c r="D50" s="86"/>
      <c r="E50" s="86" t="s">
        <v>49</v>
      </c>
      <c r="F50" s="86"/>
      <c r="G50" s="87" t="s">
        <v>61</v>
      </c>
      <c r="H50" s="88"/>
      <c r="J50" s="18" t="s">
        <v>22</v>
      </c>
      <c r="K50" s="86" t="s">
        <v>0</v>
      </c>
      <c r="L50" s="86"/>
      <c r="M50" s="86" t="s">
        <v>49</v>
      </c>
      <c r="N50" s="86"/>
      <c r="O50" s="87" t="s">
        <v>63</v>
      </c>
      <c r="P50" s="88"/>
      <c r="Q50" s="80"/>
      <c r="R50" s="18" t="s">
        <v>22</v>
      </c>
      <c r="S50" s="86" t="s">
        <v>0</v>
      </c>
      <c r="T50" s="86"/>
      <c r="U50" s="86" t="s">
        <v>49</v>
      </c>
      <c r="V50" s="86"/>
      <c r="W50" s="87" t="s">
        <v>61</v>
      </c>
      <c r="X50" s="88"/>
      <c r="Y50" s="80"/>
      <c r="AA50" s="18" t="s">
        <v>22</v>
      </c>
      <c r="AB50" s="86" t="s">
        <v>0</v>
      </c>
      <c r="AC50" s="86"/>
      <c r="AD50" s="86" t="s">
        <v>49</v>
      </c>
      <c r="AE50" s="86"/>
      <c r="AF50" s="87" t="s">
        <v>61</v>
      </c>
      <c r="AG50" s="88"/>
      <c r="AI50" s="18" t="s">
        <v>22</v>
      </c>
      <c r="AJ50" s="86" t="s">
        <v>0</v>
      </c>
      <c r="AK50" s="86"/>
      <c r="AL50" s="86" t="s">
        <v>49</v>
      </c>
      <c r="AM50" s="86"/>
      <c r="AN50" s="87" t="s">
        <v>61</v>
      </c>
      <c r="AO50" s="88"/>
    </row>
    <row r="51" spans="2:77" x14ac:dyDescent="0.3">
      <c r="B51" s="42" t="s">
        <v>50</v>
      </c>
      <c r="C51" s="9">
        <v>1</v>
      </c>
      <c r="D51" s="10">
        <f>C51/C68</f>
        <v>3.4129692832764505E-3</v>
      </c>
      <c r="E51" s="9">
        <v>0</v>
      </c>
      <c r="F51" s="26">
        <f t="shared" ref="F51:F57" si="31">E51/$E$68</f>
        <v>0</v>
      </c>
      <c r="G51" s="9">
        <v>0</v>
      </c>
      <c r="H51" s="23">
        <f t="shared" ref="H51:H57" si="32">G51/$G$68</f>
        <v>0</v>
      </c>
      <c r="J51" s="8" t="s">
        <v>11</v>
      </c>
      <c r="K51" s="9">
        <v>0</v>
      </c>
      <c r="L51" s="10">
        <f>K51/K85</f>
        <v>0</v>
      </c>
      <c r="M51" s="9">
        <v>0</v>
      </c>
      <c r="N51" s="10">
        <f t="shared" ref="N51:N57" si="33">M51/$M$85</f>
        <v>0</v>
      </c>
      <c r="O51" s="57">
        <v>0</v>
      </c>
      <c r="P51" s="23">
        <f t="shared" ref="P51:P57" si="34">O51/$O$85</f>
        <v>0</v>
      </c>
      <c r="Q51" s="35"/>
      <c r="R51" s="8" t="s">
        <v>11</v>
      </c>
      <c r="S51" s="9">
        <v>0</v>
      </c>
      <c r="T51" s="10">
        <f>S51/S85</f>
        <v>0</v>
      </c>
      <c r="U51" s="9">
        <v>0</v>
      </c>
      <c r="V51" s="10">
        <f t="shared" ref="V51:V57" si="35">U51/$U$85</f>
        <v>0</v>
      </c>
      <c r="W51" s="9">
        <v>0</v>
      </c>
      <c r="X51" s="23">
        <f t="shared" ref="X51:X57" si="36">W51/$W$85</f>
        <v>0</v>
      </c>
      <c r="Y51" s="35"/>
      <c r="AA51" s="8" t="s">
        <v>11</v>
      </c>
      <c r="AB51" s="9">
        <v>0</v>
      </c>
      <c r="AC51" s="10">
        <f>AB51/AB85</f>
        <v>0</v>
      </c>
      <c r="AD51" s="9">
        <v>0</v>
      </c>
      <c r="AE51" s="10">
        <f t="shared" ref="AE51:AE57" si="37">AD51/$AD$85</f>
        <v>0</v>
      </c>
      <c r="AF51" s="9">
        <v>0</v>
      </c>
      <c r="AG51" s="23">
        <f t="shared" ref="AG51:AG57" si="38">AF51/$AF$85</f>
        <v>0</v>
      </c>
      <c r="AI51" s="8" t="s">
        <v>78</v>
      </c>
      <c r="AJ51" s="9">
        <v>0</v>
      </c>
      <c r="AK51" s="10">
        <f>AJ51/AJ85</f>
        <v>0</v>
      </c>
      <c r="AL51" s="9">
        <v>0</v>
      </c>
      <c r="AM51" s="10">
        <f t="shared" ref="AM51:AM57" si="39">AL51/$AL$85</f>
        <v>0</v>
      </c>
      <c r="AN51" s="9">
        <v>1</v>
      </c>
      <c r="AO51" s="23">
        <f t="shared" ref="AO51:AO57" si="40">AN51/$AN$85</f>
        <v>0.1111111111111111</v>
      </c>
    </row>
    <row r="52" spans="2:77" x14ac:dyDescent="0.3">
      <c r="B52" s="40" t="s">
        <v>51</v>
      </c>
      <c r="C52" s="7">
        <v>1</v>
      </c>
      <c r="D52" s="11">
        <f>C52/C68</f>
        <v>3.4129692832764505E-3</v>
      </c>
      <c r="E52" s="7">
        <v>0</v>
      </c>
      <c r="F52" s="24">
        <f t="shared" si="31"/>
        <v>0</v>
      </c>
      <c r="G52" s="7">
        <v>1</v>
      </c>
      <c r="H52" s="25">
        <f t="shared" si="32"/>
        <v>2.9411764705882353E-2</v>
      </c>
      <c r="J52" s="2" t="s">
        <v>1</v>
      </c>
      <c r="K52" s="7">
        <v>0</v>
      </c>
      <c r="L52" s="11">
        <f>K52/K85</f>
        <v>0</v>
      </c>
      <c r="M52" s="7">
        <v>0</v>
      </c>
      <c r="N52" s="11">
        <f t="shared" si="33"/>
        <v>0</v>
      </c>
      <c r="O52" s="59">
        <v>0</v>
      </c>
      <c r="P52" s="25">
        <f t="shared" si="34"/>
        <v>0</v>
      </c>
      <c r="Q52" s="34"/>
      <c r="R52" s="2" t="s">
        <v>1</v>
      </c>
      <c r="S52" s="7">
        <v>0</v>
      </c>
      <c r="T52" s="11">
        <f t="shared" ref="T52:T57" si="41">S52/$S$85</f>
        <v>0</v>
      </c>
      <c r="U52" s="7">
        <v>0</v>
      </c>
      <c r="V52" s="11">
        <f t="shared" si="35"/>
        <v>0</v>
      </c>
      <c r="W52" s="7">
        <v>0</v>
      </c>
      <c r="X52" s="25">
        <f t="shared" si="36"/>
        <v>0</v>
      </c>
      <c r="Y52" s="34"/>
      <c r="AA52" s="2" t="s">
        <v>1</v>
      </c>
      <c r="AB52" s="7">
        <v>0</v>
      </c>
      <c r="AC52" s="11">
        <f>AB52/AB85</f>
        <v>0</v>
      </c>
      <c r="AD52" s="7">
        <v>0</v>
      </c>
      <c r="AE52" s="11">
        <f t="shared" si="37"/>
        <v>0</v>
      </c>
      <c r="AF52" s="7">
        <v>0</v>
      </c>
      <c r="AG52" s="13">
        <f t="shared" si="38"/>
        <v>0</v>
      </c>
      <c r="AI52" s="2" t="s">
        <v>1</v>
      </c>
      <c r="AJ52" s="7">
        <v>0</v>
      </c>
      <c r="AK52" s="11">
        <f t="shared" ref="AK52:AK57" si="42">AJ52/$AJ$85</f>
        <v>0</v>
      </c>
      <c r="AL52" s="7">
        <v>1</v>
      </c>
      <c r="AM52" s="11">
        <f t="shared" si="39"/>
        <v>0.1</v>
      </c>
      <c r="AN52" s="7">
        <v>0</v>
      </c>
      <c r="AO52" s="13">
        <f t="shared" si="40"/>
        <v>0</v>
      </c>
    </row>
    <row r="53" spans="2:77" x14ac:dyDescent="0.3">
      <c r="B53" s="41" t="s">
        <v>52</v>
      </c>
      <c r="C53" s="7">
        <v>4</v>
      </c>
      <c r="D53" s="11">
        <f>C53/C68</f>
        <v>1.3651877133105802E-2</v>
      </c>
      <c r="E53" s="7">
        <v>10</v>
      </c>
      <c r="F53" s="24">
        <f t="shared" si="31"/>
        <v>0.33333333333333331</v>
      </c>
      <c r="G53" s="7">
        <v>9</v>
      </c>
      <c r="H53" s="25">
        <f t="shared" si="32"/>
        <v>0.26470588235294118</v>
      </c>
      <c r="J53" s="3" t="s">
        <v>12</v>
      </c>
      <c r="K53" s="7">
        <v>70</v>
      </c>
      <c r="L53" s="11">
        <f>K53/K85</f>
        <v>8.1300813008130079E-2</v>
      </c>
      <c r="M53" s="7">
        <v>0</v>
      </c>
      <c r="N53" s="11">
        <f t="shared" si="33"/>
        <v>0</v>
      </c>
      <c r="O53" s="59">
        <v>1</v>
      </c>
      <c r="P53" s="25">
        <f t="shared" si="34"/>
        <v>5.5555555555555552E-2</v>
      </c>
      <c r="Q53" s="35"/>
      <c r="R53" s="3" t="s">
        <v>12</v>
      </c>
      <c r="S53" s="7">
        <v>47</v>
      </c>
      <c r="T53" s="11">
        <f t="shared" si="41"/>
        <v>8.1739130434782606E-2</v>
      </c>
      <c r="U53" s="7">
        <v>0</v>
      </c>
      <c r="V53" s="11">
        <f t="shared" si="35"/>
        <v>0</v>
      </c>
      <c r="W53" s="7">
        <v>0</v>
      </c>
      <c r="X53" s="25">
        <f t="shared" si="36"/>
        <v>0</v>
      </c>
      <c r="Y53" s="35"/>
      <c r="AA53" s="3" t="s">
        <v>12</v>
      </c>
      <c r="AB53" s="7">
        <v>11</v>
      </c>
      <c r="AC53" s="11">
        <f>AB53/AB85</f>
        <v>8.2706766917293228E-2</v>
      </c>
      <c r="AD53" s="7">
        <v>0</v>
      </c>
      <c r="AE53" s="11">
        <f t="shared" si="37"/>
        <v>0</v>
      </c>
      <c r="AF53" s="7">
        <v>2</v>
      </c>
      <c r="AG53" s="13">
        <f t="shared" si="38"/>
        <v>5.7142857142857141E-2</v>
      </c>
      <c r="AI53" s="3" t="s">
        <v>12</v>
      </c>
      <c r="AJ53" s="7">
        <v>62</v>
      </c>
      <c r="AK53" s="11">
        <f t="shared" si="42"/>
        <v>8.1045751633986932E-2</v>
      </c>
      <c r="AL53" s="7">
        <v>1</v>
      </c>
      <c r="AM53" s="11">
        <f t="shared" si="39"/>
        <v>0.1</v>
      </c>
      <c r="AN53" s="7">
        <v>0</v>
      </c>
      <c r="AO53" s="13">
        <f t="shared" si="40"/>
        <v>0</v>
      </c>
    </row>
    <row r="54" spans="2:77" x14ac:dyDescent="0.3">
      <c r="B54" s="41" t="s">
        <v>53</v>
      </c>
      <c r="C54" s="7">
        <v>37</v>
      </c>
      <c r="D54" s="11">
        <f>C54/C68</f>
        <v>0.12627986348122866</v>
      </c>
      <c r="E54" s="7">
        <v>2</v>
      </c>
      <c r="F54" s="24">
        <f t="shared" si="31"/>
        <v>6.6666666666666666E-2</v>
      </c>
      <c r="G54" s="7">
        <v>5</v>
      </c>
      <c r="H54" s="25">
        <f t="shared" si="32"/>
        <v>0.14705882352941177</v>
      </c>
      <c r="J54" s="3" t="s">
        <v>27</v>
      </c>
      <c r="K54" s="7">
        <v>0</v>
      </c>
      <c r="L54" s="11">
        <f>K54/K85</f>
        <v>0</v>
      </c>
      <c r="M54" s="7">
        <v>0</v>
      </c>
      <c r="N54" s="11">
        <f t="shared" si="33"/>
        <v>0</v>
      </c>
      <c r="O54" s="59">
        <v>0</v>
      </c>
      <c r="P54" s="25">
        <f t="shared" si="34"/>
        <v>0</v>
      </c>
      <c r="Q54" s="34"/>
      <c r="R54" s="3" t="s">
        <v>27</v>
      </c>
      <c r="S54" s="7">
        <v>0</v>
      </c>
      <c r="T54" s="11">
        <f t="shared" si="41"/>
        <v>0</v>
      </c>
      <c r="U54" s="7">
        <v>0</v>
      </c>
      <c r="V54" s="11">
        <f t="shared" si="35"/>
        <v>0</v>
      </c>
      <c r="W54" s="7">
        <v>0</v>
      </c>
      <c r="X54" s="25">
        <f t="shared" si="36"/>
        <v>0</v>
      </c>
      <c r="Y54" s="34"/>
      <c r="AA54" s="3" t="s">
        <v>27</v>
      </c>
      <c r="AB54" s="7">
        <v>0</v>
      </c>
      <c r="AC54" s="11">
        <f>AB54/AB85</f>
        <v>0</v>
      </c>
      <c r="AD54" s="7">
        <v>0</v>
      </c>
      <c r="AE54" s="11">
        <f t="shared" si="37"/>
        <v>0</v>
      </c>
      <c r="AF54" s="7">
        <v>0</v>
      </c>
      <c r="AG54" s="13">
        <f t="shared" si="38"/>
        <v>0</v>
      </c>
      <c r="AI54" s="3" t="s">
        <v>75</v>
      </c>
      <c r="AJ54" s="7">
        <v>0</v>
      </c>
      <c r="AK54" s="11">
        <f t="shared" si="42"/>
        <v>0</v>
      </c>
      <c r="AL54" s="7">
        <v>2</v>
      </c>
      <c r="AM54" s="11">
        <f t="shared" si="39"/>
        <v>0.2</v>
      </c>
      <c r="AN54" s="7">
        <v>1</v>
      </c>
      <c r="AO54" s="13">
        <f t="shared" si="40"/>
        <v>0.1111111111111111</v>
      </c>
    </row>
    <row r="55" spans="2:77" x14ac:dyDescent="0.3">
      <c r="B55" s="41" t="s">
        <v>54</v>
      </c>
      <c r="C55" s="7">
        <v>0</v>
      </c>
      <c r="D55" s="11">
        <f>C55/C68</f>
        <v>0</v>
      </c>
      <c r="E55" s="7">
        <v>2</v>
      </c>
      <c r="F55" s="24">
        <f t="shared" si="31"/>
        <v>6.6666666666666666E-2</v>
      </c>
      <c r="G55" s="7">
        <v>1</v>
      </c>
      <c r="H55" s="25">
        <f t="shared" si="32"/>
        <v>2.9411764705882353E-2</v>
      </c>
      <c r="J55" s="3" t="s">
        <v>28</v>
      </c>
      <c r="K55" s="7">
        <v>0</v>
      </c>
      <c r="L55" s="11">
        <f>K55/K85</f>
        <v>0</v>
      </c>
      <c r="M55" s="7">
        <v>0</v>
      </c>
      <c r="N55" s="11">
        <f t="shared" si="33"/>
        <v>0</v>
      </c>
      <c r="O55" s="59">
        <v>0</v>
      </c>
      <c r="P55" s="25">
        <f t="shared" si="34"/>
        <v>0</v>
      </c>
      <c r="Q55" s="34"/>
      <c r="R55" s="3" t="s">
        <v>28</v>
      </c>
      <c r="S55" s="7">
        <v>0</v>
      </c>
      <c r="T55" s="11">
        <f t="shared" si="41"/>
        <v>0</v>
      </c>
      <c r="U55" s="7">
        <v>0</v>
      </c>
      <c r="V55" s="11">
        <f t="shared" si="35"/>
        <v>0</v>
      </c>
      <c r="W55" s="7">
        <v>0</v>
      </c>
      <c r="X55" s="25">
        <f t="shared" si="36"/>
        <v>0</v>
      </c>
      <c r="Y55" s="34"/>
      <c r="AA55" s="3" t="s">
        <v>28</v>
      </c>
      <c r="AB55" s="7">
        <v>0</v>
      </c>
      <c r="AC55" s="11">
        <f>AB55/AB85</f>
        <v>0</v>
      </c>
      <c r="AD55" s="7">
        <v>0</v>
      </c>
      <c r="AE55" s="11">
        <f t="shared" si="37"/>
        <v>0</v>
      </c>
      <c r="AF55" s="7">
        <v>0</v>
      </c>
      <c r="AG55" s="13">
        <f t="shared" si="38"/>
        <v>0</v>
      </c>
      <c r="AI55" s="3" t="s">
        <v>28</v>
      </c>
      <c r="AJ55" s="7">
        <v>0</v>
      </c>
      <c r="AK55" s="11">
        <f t="shared" si="42"/>
        <v>0</v>
      </c>
      <c r="AL55" s="7">
        <v>0</v>
      </c>
      <c r="AM55" s="11">
        <f t="shared" si="39"/>
        <v>0</v>
      </c>
      <c r="AN55" s="7">
        <v>2</v>
      </c>
      <c r="AO55" s="13">
        <f t="shared" si="40"/>
        <v>0.22222222222222221</v>
      </c>
    </row>
    <row r="56" spans="2:77" x14ac:dyDescent="0.3">
      <c r="B56" s="41" t="s">
        <v>36</v>
      </c>
      <c r="C56" s="7">
        <v>0</v>
      </c>
      <c r="D56" s="11">
        <f>C56/C68</f>
        <v>0</v>
      </c>
      <c r="E56" s="7">
        <v>2</v>
      </c>
      <c r="F56" s="24">
        <f t="shared" si="31"/>
        <v>6.6666666666666666E-2</v>
      </c>
      <c r="G56" s="7">
        <v>0</v>
      </c>
      <c r="H56" s="25">
        <f t="shared" si="32"/>
        <v>0</v>
      </c>
      <c r="J56" s="3" t="s">
        <v>29</v>
      </c>
      <c r="K56" s="7">
        <v>0</v>
      </c>
      <c r="L56" s="11">
        <f>K56/K85</f>
        <v>0</v>
      </c>
      <c r="M56" s="7">
        <v>0</v>
      </c>
      <c r="N56" s="11">
        <f t="shared" si="33"/>
        <v>0</v>
      </c>
      <c r="O56" s="59">
        <v>0</v>
      </c>
      <c r="P56" s="25">
        <f t="shared" si="34"/>
        <v>0</v>
      </c>
      <c r="Q56" s="34"/>
      <c r="R56" s="3" t="s">
        <v>29</v>
      </c>
      <c r="S56" s="7">
        <v>0</v>
      </c>
      <c r="T56" s="11">
        <f t="shared" si="41"/>
        <v>0</v>
      </c>
      <c r="U56" s="7">
        <v>0</v>
      </c>
      <c r="V56" s="11">
        <f t="shared" si="35"/>
        <v>0</v>
      </c>
      <c r="W56" s="7">
        <v>0</v>
      </c>
      <c r="X56" s="25">
        <f t="shared" si="36"/>
        <v>0</v>
      </c>
      <c r="Y56" s="34"/>
      <c r="AA56" s="3" t="s">
        <v>29</v>
      </c>
      <c r="AB56" s="7">
        <v>0</v>
      </c>
      <c r="AC56" s="11">
        <f>AB56/AB85</f>
        <v>0</v>
      </c>
      <c r="AD56" s="7">
        <v>0</v>
      </c>
      <c r="AE56" s="11">
        <f t="shared" si="37"/>
        <v>0</v>
      </c>
      <c r="AF56" s="7">
        <v>0</v>
      </c>
      <c r="AG56" s="13">
        <f t="shared" si="38"/>
        <v>0</v>
      </c>
      <c r="AI56" s="3" t="s">
        <v>29</v>
      </c>
      <c r="AJ56" s="7">
        <v>0</v>
      </c>
      <c r="AK56" s="11">
        <f t="shared" si="42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77" x14ac:dyDescent="0.3">
      <c r="B57" s="41" t="s">
        <v>55</v>
      </c>
      <c r="C57" s="7">
        <v>1</v>
      </c>
      <c r="D57" s="11">
        <f>C57/C68</f>
        <v>3.4129692832764505E-3</v>
      </c>
      <c r="E57" s="7">
        <v>0</v>
      </c>
      <c r="F57" s="24">
        <f t="shared" si="31"/>
        <v>0</v>
      </c>
      <c r="G57" s="7">
        <v>0</v>
      </c>
      <c r="H57" s="25">
        <f t="shared" si="32"/>
        <v>0</v>
      </c>
      <c r="J57" s="3" t="s">
        <v>13</v>
      </c>
      <c r="K57" s="7">
        <v>0</v>
      </c>
      <c r="L57" s="11">
        <f>K57/K85</f>
        <v>0</v>
      </c>
      <c r="M57" s="7">
        <v>0</v>
      </c>
      <c r="N57" s="11">
        <f t="shared" si="33"/>
        <v>0</v>
      </c>
      <c r="O57" s="59">
        <v>0</v>
      </c>
      <c r="P57" s="25">
        <f t="shared" si="34"/>
        <v>0</v>
      </c>
      <c r="Q57" s="35"/>
      <c r="R57" s="3" t="s">
        <v>13</v>
      </c>
      <c r="S57" s="7">
        <v>0</v>
      </c>
      <c r="T57" s="11">
        <f t="shared" si="41"/>
        <v>0</v>
      </c>
      <c r="U57" s="7">
        <v>0</v>
      </c>
      <c r="V57" s="11">
        <f t="shared" si="35"/>
        <v>0</v>
      </c>
      <c r="W57" s="7">
        <v>0</v>
      </c>
      <c r="X57" s="25">
        <f t="shared" si="36"/>
        <v>0</v>
      </c>
      <c r="Y57" s="35"/>
      <c r="AA57" s="3" t="s">
        <v>13</v>
      </c>
      <c r="AB57" s="7">
        <v>0</v>
      </c>
      <c r="AC57" s="11">
        <f>AB57/AB85</f>
        <v>0</v>
      </c>
      <c r="AD57" s="7">
        <v>0</v>
      </c>
      <c r="AE57" s="11">
        <f t="shared" si="37"/>
        <v>0</v>
      </c>
      <c r="AF57" s="7">
        <v>0</v>
      </c>
      <c r="AG57" s="13">
        <f t="shared" si="38"/>
        <v>0</v>
      </c>
      <c r="AI57" s="3" t="s">
        <v>13</v>
      </c>
      <c r="AJ57" s="7">
        <v>0</v>
      </c>
      <c r="AK57" s="11">
        <f t="shared" si="42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  <c r="BU57" t="str">
        <f>BU18</f>
        <v>Release</v>
      </c>
      <c r="BW57" t="str">
        <f t="shared" ref="BW57:BY57" si="43">BW18</f>
        <v>0-4 mo</v>
      </c>
      <c r="BY57" t="str">
        <f t="shared" si="43"/>
        <v>4-12 mo</v>
      </c>
    </row>
    <row r="58" spans="2:77" x14ac:dyDescent="0.3">
      <c r="B58" s="41"/>
      <c r="C58" s="7"/>
      <c r="D58" s="11"/>
      <c r="E58" s="7"/>
      <c r="F58" s="24"/>
      <c r="G58" s="7"/>
      <c r="H58" s="25"/>
      <c r="J58" s="3"/>
      <c r="K58" s="7"/>
      <c r="L58" s="11"/>
      <c r="M58" s="7"/>
      <c r="N58" s="11"/>
      <c r="O58" s="59"/>
      <c r="P58" s="25"/>
      <c r="Q58" s="35"/>
      <c r="R58" s="3"/>
      <c r="S58" s="7"/>
      <c r="T58" s="11"/>
      <c r="U58" s="7"/>
      <c r="V58" s="11"/>
      <c r="W58" s="7"/>
      <c r="X58" s="25"/>
      <c r="Y58" s="35"/>
      <c r="AA58" s="3"/>
      <c r="AB58" s="7"/>
      <c r="AC58" s="11"/>
      <c r="AD58" s="7"/>
      <c r="AE58" s="11"/>
      <c r="AF58" s="7"/>
      <c r="AG58" s="13"/>
      <c r="AI58" s="3"/>
      <c r="AJ58" s="7"/>
      <c r="AK58" s="11"/>
      <c r="AL58" s="7"/>
      <c r="AM58" s="11"/>
      <c r="AN58" s="7"/>
      <c r="AO58" s="13"/>
      <c r="BT58" s="76" t="str">
        <f>BT20</f>
        <v>7.2.x</v>
      </c>
      <c r="BU58" s="22">
        <f>BU20</f>
        <v>0.70219435736677116</v>
      </c>
      <c r="BW58" s="22">
        <f>BW20</f>
        <v>6.5830721003134793E-2</v>
      </c>
      <c r="BY58" s="22">
        <f>BY20</f>
        <v>0.23197492163009403</v>
      </c>
    </row>
    <row r="59" spans="2:77" x14ac:dyDescent="0.3">
      <c r="B59" s="41" t="s">
        <v>56</v>
      </c>
      <c r="C59" s="7">
        <v>213</v>
      </c>
      <c r="D59" s="11">
        <f>C59/C68</f>
        <v>0.726962457337884</v>
      </c>
      <c r="E59" s="7">
        <v>10</v>
      </c>
      <c r="F59" s="24">
        <f>E59/$E$68</f>
        <v>0.33333333333333331</v>
      </c>
      <c r="G59" s="7">
        <v>13</v>
      </c>
      <c r="H59" s="25">
        <f>G59/$G$68</f>
        <v>0.38235294117647056</v>
      </c>
      <c r="J59" s="3" t="s">
        <v>14</v>
      </c>
      <c r="K59" s="7">
        <v>80</v>
      </c>
      <c r="L59" s="11">
        <f>K59/K85</f>
        <v>9.2915214866434379E-2</v>
      </c>
      <c r="M59" s="7">
        <v>0</v>
      </c>
      <c r="N59" s="11">
        <f>M59/$M$85</f>
        <v>0</v>
      </c>
      <c r="O59" s="59">
        <v>1</v>
      </c>
      <c r="P59" s="25">
        <f>O59/$O$85</f>
        <v>5.5555555555555552E-2</v>
      </c>
      <c r="Q59" s="35"/>
      <c r="R59" s="3" t="s">
        <v>14</v>
      </c>
      <c r="S59" s="7">
        <v>53</v>
      </c>
      <c r="T59" s="11">
        <f>S59/$S$85</f>
        <v>9.2173913043478259E-2</v>
      </c>
      <c r="U59" s="7">
        <v>0</v>
      </c>
      <c r="V59" s="11">
        <f>U59/$U$85</f>
        <v>0</v>
      </c>
      <c r="W59" s="7">
        <v>0</v>
      </c>
      <c r="X59" s="25">
        <f>W59/$W$85</f>
        <v>0</v>
      </c>
      <c r="Y59" s="35"/>
      <c r="AA59" s="3" t="s">
        <v>14</v>
      </c>
      <c r="AB59" s="7">
        <v>12</v>
      </c>
      <c r="AC59" s="11">
        <f>AB59/AB85</f>
        <v>9.0225563909774431E-2</v>
      </c>
      <c r="AD59" s="7">
        <v>0</v>
      </c>
      <c r="AE59" s="11">
        <f>AD59/$AD$85</f>
        <v>0</v>
      </c>
      <c r="AF59" s="7">
        <v>9</v>
      </c>
      <c r="AG59" s="13">
        <f>AF59/$AF$85</f>
        <v>0.25714285714285712</v>
      </c>
      <c r="AI59" s="3" t="s">
        <v>14</v>
      </c>
      <c r="AJ59" s="7">
        <v>71</v>
      </c>
      <c r="AK59" s="11">
        <f>AJ59/$AJ$85</f>
        <v>9.2810457516339873E-2</v>
      </c>
      <c r="AL59" s="7">
        <v>0</v>
      </c>
      <c r="AM59" s="11">
        <f>AL59/$AL$85</f>
        <v>0</v>
      </c>
      <c r="AN59" s="7">
        <v>0</v>
      </c>
      <c r="AO59" s="13">
        <f>AN59/$AN$85</f>
        <v>0</v>
      </c>
      <c r="BT59" s="76" t="str">
        <f>BT21</f>
        <v>7.3.x</v>
      </c>
      <c r="BU59" s="28">
        <f t="shared" ref="BU59:BY59" si="44">BU21</f>
        <v>0.84347826086956523</v>
      </c>
      <c r="BV59" s="76"/>
      <c r="BW59" s="28">
        <f t="shared" si="44"/>
        <v>3.4782608695652174E-2</v>
      </c>
      <c r="BX59" s="28"/>
      <c r="BY59" s="28">
        <f t="shared" si="44"/>
        <v>0.12173913043478261</v>
      </c>
    </row>
    <row r="60" spans="2:77" x14ac:dyDescent="0.3">
      <c r="B60" s="41" t="s">
        <v>57</v>
      </c>
      <c r="C60" s="7">
        <v>9</v>
      </c>
      <c r="D60" s="11">
        <f>C60/C68</f>
        <v>3.0716723549488054E-2</v>
      </c>
      <c r="E60" s="7">
        <v>0</v>
      </c>
      <c r="F60" s="24">
        <f>E60/$E$68</f>
        <v>0</v>
      </c>
      <c r="G60" s="7">
        <v>1</v>
      </c>
      <c r="H60" s="25">
        <f>G60/$G$68</f>
        <v>2.9411764705882353E-2</v>
      </c>
      <c r="J60" s="3" t="s">
        <v>3</v>
      </c>
      <c r="K60" s="7">
        <v>0</v>
      </c>
      <c r="L60" s="11">
        <f>K60/K85</f>
        <v>0</v>
      </c>
      <c r="M60" s="7">
        <v>0</v>
      </c>
      <c r="N60" s="11">
        <f>M60/$M$85</f>
        <v>0</v>
      </c>
      <c r="O60" s="59">
        <v>1</v>
      </c>
      <c r="P60" s="25">
        <f>O60/$O$85</f>
        <v>5.5555555555555552E-2</v>
      </c>
      <c r="Q60" s="35"/>
      <c r="R60" s="3" t="s">
        <v>3</v>
      </c>
      <c r="S60" s="7">
        <v>0</v>
      </c>
      <c r="T60" s="11">
        <f>S60/$S$85</f>
        <v>0</v>
      </c>
      <c r="U60" s="7">
        <v>0</v>
      </c>
      <c r="V60" s="11">
        <f>U60/$U$85</f>
        <v>0</v>
      </c>
      <c r="W60" s="7">
        <v>0</v>
      </c>
      <c r="X60" s="25">
        <f>W60/$W$85</f>
        <v>0</v>
      </c>
      <c r="Y60" s="35"/>
      <c r="AA60" s="3" t="s">
        <v>3</v>
      </c>
      <c r="AB60" s="7">
        <v>0</v>
      </c>
      <c r="AC60" s="11">
        <f>AB60/AB85</f>
        <v>0</v>
      </c>
      <c r="AD60" s="7">
        <v>0</v>
      </c>
      <c r="AE60" s="11">
        <f>AD60/$AD$85</f>
        <v>0</v>
      </c>
      <c r="AF60" s="7">
        <v>0</v>
      </c>
      <c r="AG60" s="13">
        <f>AF60/$AF$85</f>
        <v>0</v>
      </c>
      <c r="AI60" s="3" t="s">
        <v>3</v>
      </c>
      <c r="AJ60" s="7">
        <v>0</v>
      </c>
      <c r="AK60" s="11">
        <f>AJ60/$AJ$85</f>
        <v>0</v>
      </c>
      <c r="AL60" s="7">
        <v>0</v>
      </c>
      <c r="AM60" s="11">
        <f>AL60/$AL$85</f>
        <v>0</v>
      </c>
      <c r="AN60" s="7">
        <v>0</v>
      </c>
      <c r="AO60" s="13">
        <f>AN60/$AN$85</f>
        <v>0</v>
      </c>
      <c r="BT60" s="76" t="str">
        <f>BT22</f>
        <v>7.4.x</v>
      </c>
      <c r="BU60" s="28">
        <f t="shared" ref="BU60:BY60" si="45">BU22</f>
        <v>0.7946428571428571</v>
      </c>
      <c r="BV60" s="76"/>
      <c r="BW60" s="28">
        <f t="shared" si="45"/>
        <v>9.8214285714285712E-2</v>
      </c>
      <c r="BX60" s="28"/>
      <c r="BY60" s="28">
        <f t="shared" si="45"/>
        <v>0.10714285714285714</v>
      </c>
    </row>
    <row r="61" spans="2:77" x14ac:dyDescent="0.3">
      <c r="B61" s="41"/>
      <c r="C61" s="7"/>
      <c r="D61" s="11"/>
      <c r="E61" s="7"/>
      <c r="F61" s="24"/>
      <c r="G61" s="7"/>
      <c r="H61" s="25"/>
      <c r="J61" s="3"/>
      <c r="K61" s="7"/>
      <c r="L61" s="11"/>
      <c r="M61" s="7"/>
      <c r="N61" s="11"/>
      <c r="O61" s="59"/>
      <c r="P61" s="25"/>
      <c r="Q61" s="35"/>
      <c r="R61" s="3"/>
      <c r="S61" s="7"/>
      <c r="T61" s="11"/>
      <c r="U61" s="7"/>
      <c r="V61" s="11"/>
      <c r="W61" s="7"/>
      <c r="X61" s="25"/>
      <c r="Y61" s="35"/>
      <c r="AA61" s="3"/>
      <c r="AB61" s="7"/>
      <c r="AC61" s="11"/>
      <c r="AD61" s="7"/>
      <c r="AE61" s="11"/>
      <c r="AF61" s="7"/>
      <c r="AG61" s="13"/>
      <c r="AI61" s="3"/>
      <c r="AJ61" s="7"/>
      <c r="AK61" s="11"/>
      <c r="AL61" s="7"/>
      <c r="AM61" s="11"/>
      <c r="AN61" s="7"/>
      <c r="AO61" s="13"/>
      <c r="BT61" s="76" t="str">
        <f>BT23</f>
        <v>7.5.x</v>
      </c>
      <c r="BU61" s="28">
        <f>BU23</f>
        <v>0.82242990654205606</v>
      </c>
      <c r="BV61" s="76"/>
      <c r="BW61" s="28">
        <f>BW23</f>
        <v>4.6728971962616821E-2</v>
      </c>
      <c r="BX61" s="28"/>
      <c r="BY61" s="28">
        <f>BY23</f>
        <v>0.13084112149532709</v>
      </c>
    </row>
    <row r="62" spans="2:77" x14ac:dyDescent="0.3">
      <c r="B62" s="41"/>
      <c r="C62" s="7"/>
      <c r="D62" s="11"/>
      <c r="E62" s="7"/>
      <c r="F62" s="24"/>
      <c r="G62" s="7"/>
      <c r="H62" s="25"/>
      <c r="J62" s="3"/>
      <c r="K62" s="7"/>
      <c r="L62" s="11"/>
      <c r="M62" s="7"/>
      <c r="N62" s="11"/>
      <c r="O62" s="59"/>
      <c r="P62" s="25"/>
      <c r="Q62" s="35"/>
      <c r="R62" s="3"/>
      <c r="S62" s="7"/>
      <c r="T62" s="11"/>
      <c r="U62" s="7"/>
      <c r="V62" s="11"/>
      <c r="W62" s="7"/>
      <c r="X62" s="25"/>
      <c r="Y62" s="35"/>
      <c r="AA62" s="3"/>
      <c r="AB62" s="7"/>
      <c r="AC62" s="11"/>
      <c r="AD62" s="7"/>
      <c r="AE62" s="11"/>
      <c r="AF62" s="7"/>
      <c r="AG62" s="13"/>
      <c r="AI62" s="3"/>
      <c r="AJ62" s="7"/>
      <c r="AK62" s="11"/>
      <c r="AL62" s="7"/>
      <c r="AM62" s="11"/>
      <c r="AN62" s="7"/>
      <c r="AO62" s="13"/>
      <c r="BT62" s="76" t="str">
        <f>BT24</f>
        <v>7.6.x</v>
      </c>
      <c r="BU62" s="28">
        <f>BU24</f>
        <v>0.92500000000000004</v>
      </c>
      <c r="BV62" s="76"/>
      <c r="BW62" s="28">
        <f>BW24</f>
        <v>1.8749999999999999E-2</v>
      </c>
      <c r="BX62" s="28"/>
      <c r="BY62" s="28">
        <f>BY24</f>
        <v>5.6250000000000001E-2</v>
      </c>
    </row>
    <row r="63" spans="2:77" x14ac:dyDescent="0.3">
      <c r="B63" s="41"/>
      <c r="C63" s="7"/>
      <c r="D63" s="11"/>
      <c r="E63" s="7"/>
      <c r="F63" s="24"/>
      <c r="G63" s="7"/>
      <c r="H63" s="25"/>
      <c r="J63" s="3"/>
      <c r="K63" s="7"/>
      <c r="L63" s="11"/>
      <c r="M63" s="7"/>
      <c r="N63" s="11"/>
      <c r="O63" s="59"/>
      <c r="P63" s="25"/>
      <c r="Q63" s="35"/>
      <c r="R63" s="3"/>
      <c r="S63" s="7"/>
      <c r="T63" s="11"/>
      <c r="U63" s="7"/>
      <c r="V63" s="11"/>
      <c r="W63" s="7"/>
      <c r="X63" s="25"/>
      <c r="Y63" s="35"/>
      <c r="AA63" s="3"/>
      <c r="AB63" s="7"/>
      <c r="AC63" s="11"/>
      <c r="AD63" s="7"/>
      <c r="AE63" s="11"/>
      <c r="AF63" s="7"/>
      <c r="AG63" s="13"/>
      <c r="AI63" s="3"/>
      <c r="AJ63" s="7"/>
      <c r="AK63" s="11"/>
      <c r="AL63" s="7"/>
      <c r="AM63" s="11"/>
      <c r="AN63" s="7"/>
      <c r="AO63" s="13"/>
      <c r="BT63" s="76"/>
      <c r="BU63" s="28"/>
      <c r="BV63" s="76"/>
      <c r="BW63" s="28"/>
      <c r="BX63" s="28"/>
      <c r="BY63" s="28"/>
    </row>
    <row r="64" spans="2:77" x14ac:dyDescent="0.3">
      <c r="B64" s="41"/>
      <c r="C64" s="7"/>
      <c r="D64" s="11"/>
      <c r="E64" s="7"/>
      <c r="F64" s="24"/>
      <c r="G64" s="7"/>
      <c r="H64" s="25"/>
      <c r="J64" s="3"/>
      <c r="K64" s="7"/>
      <c r="L64" s="11"/>
      <c r="M64" s="7"/>
      <c r="N64" s="11"/>
      <c r="O64" s="59"/>
      <c r="P64" s="25"/>
      <c r="Q64" s="35"/>
      <c r="R64" s="3"/>
      <c r="S64" s="7"/>
      <c r="T64" s="11"/>
      <c r="U64" s="7"/>
      <c r="V64" s="11"/>
      <c r="W64" s="7"/>
      <c r="X64" s="25"/>
      <c r="Y64" s="35"/>
      <c r="AA64" s="3"/>
      <c r="AB64" s="7"/>
      <c r="AC64" s="11"/>
      <c r="AD64" s="7"/>
      <c r="AE64" s="11"/>
      <c r="AF64" s="7"/>
      <c r="AG64" s="13"/>
      <c r="AI64" s="3"/>
      <c r="AJ64" s="7"/>
      <c r="AK64" s="11"/>
      <c r="AL64" s="7"/>
      <c r="AM64" s="11"/>
      <c r="AN64" s="7"/>
      <c r="AO64" s="13"/>
      <c r="BT64" s="76"/>
      <c r="BU64" s="28"/>
      <c r="BV64" s="76"/>
      <c r="BW64" s="28"/>
      <c r="BX64" s="28"/>
      <c r="BY64" s="28"/>
    </row>
    <row r="65" spans="2:77" x14ac:dyDescent="0.3">
      <c r="B65" s="41"/>
      <c r="C65" s="7"/>
      <c r="D65" s="11"/>
      <c r="E65" s="7"/>
      <c r="F65" s="24"/>
      <c r="G65" s="7"/>
      <c r="H65" s="25"/>
      <c r="J65" s="3"/>
      <c r="K65" s="7"/>
      <c r="L65" s="11"/>
      <c r="M65" s="7"/>
      <c r="N65" s="11"/>
      <c r="O65" s="59"/>
      <c r="P65" s="25"/>
      <c r="Q65" s="35"/>
      <c r="R65" s="3"/>
      <c r="S65" s="7"/>
      <c r="T65" s="11"/>
      <c r="U65" s="7"/>
      <c r="V65" s="11"/>
      <c r="W65" s="7"/>
      <c r="X65" s="25"/>
      <c r="Y65" s="35"/>
      <c r="AA65" s="3"/>
      <c r="AB65" s="7"/>
      <c r="AC65" s="11"/>
      <c r="AD65" s="7"/>
      <c r="AE65" s="11"/>
      <c r="AF65" s="7"/>
      <c r="AG65" s="13"/>
      <c r="AI65" s="3"/>
      <c r="AJ65" s="7"/>
      <c r="AK65" s="11"/>
      <c r="AL65" s="7"/>
      <c r="AM65" s="11"/>
      <c r="AN65" s="7"/>
      <c r="AO65" s="13"/>
      <c r="BT65" s="76"/>
      <c r="BU65" s="28"/>
      <c r="BV65" s="76"/>
      <c r="BW65" s="28"/>
      <c r="BX65" s="28"/>
      <c r="BY65" s="28"/>
    </row>
    <row r="66" spans="2:77" x14ac:dyDescent="0.3">
      <c r="B66" s="41" t="s">
        <v>58</v>
      </c>
      <c r="C66" s="7">
        <v>5</v>
      </c>
      <c r="D66" s="11">
        <f>C66/C68</f>
        <v>1.7064846416382253E-2</v>
      </c>
      <c r="E66" s="7">
        <v>1</v>
      </c>
      <c r="F66" s="24">
        <f>E66/$E$68</f>
        <v>3.3333333333333333E-2</v>
      </c>
      <c r="G66" s="7">
        <v>1</v>
      </c>
      <c r="H66" s="25">
        <f>G66/$G$68</f>
        <v>2.9411764705882353E-2</v>
      </c>
      <c r="J66" s="3" t="s">
        <v>30</v>
      </c>
      <c r="K66" s="7">
        <v>0</v>
      </c>
      <c r="L66" s="11">
        <f>K66/K85</f>
        <v>0</v>
      </c>
      <c r="M66" s="7">
        <v>0</v>
      </c>
      <c r="N66" s="11">
        <f t="shared" ref="N66:N84" si="46">M66/$M$85</f>
        <v>0</v>
      </c>
      <c r="O66" s="59">
        <v>0</v>
      </c>
      <c r="P66" s="25">
        <f t="shared" ref="P66:P84" si="47">O66/$O$85</f>
        <v>0</v>
      </c>
      <c r="Q66" s="34"/>
      <c r="R66" s="3" t="s">
        <v>30</v>
      </c>
      <c r="S66" s="7">
        <v>0</v>
      </c>
      <c r="T66" s="11">
        <f t="shared" ref="T66:T84" si="48">S66/$S$85</f>
        <v>0</v>
      </c>
      <c r="U66" s="7">
        <v>0</v>
      </c>
      <c r="V66" s="11">
        <f t="shared" ref="V66:V84" si="49">U66/$U$85</f>
        <v>0</v>
      </c>
      <c r="W66" s="7">
        <v>0</v>
      </c>
      <c r="X66" s="25">
        <f t="shared" ref="X66:X84" si="50">W66/$W$85</f>
        <v>0</v>
      </c>
      <c r="Y66" s="34"/>
      <c r="AA66" s="3" t="s">
        <v>30</v>
      </c>
      <c r="AB66" s="7">
        <v>0</v>
      </c>
      <c r="AC66" s="11">
        <f>AB66/AB85</f>
        <v>0</v>
      </c>
      <c r="AD66" s="7">
        <v>0</v>
      </c>
      <c r="AE66" s="11">
        <f t="shared" ref="AE66:AE84" si="51">AD66/$AD$85</f>
        <v>0</v>
      </c>
      <c r="AF66" s="7">
        <v>0</v>
      </c>
      <c r="AG66" s="13">
        <f t="shared" ref="AG66:AG84" si="52">AF66/$AF$85</f>
        <v>0</v>
      </c>
      <c r="AI66" s="3" t="s">
        <v>30</v>
      </c>
      <c r="AJ66" s="7">
        <v>0</v>
      </c>
      <c r="AK66" s="11">
        <f t="shared" ref="AK66:AK84" si="53">AJ66/$AJ$85</f>
        <v>0</v>
      </c>
      <c r="AL66" s="7">
        <v>0</v>
      </c>
      <c r="AM66" s="11">
        <f t="shared" ref="AM66:AM84" si="54">AL66/$AL$85</f>
        <v>0</v>
      </c>
      <c r="AN66" s="7">
        <v>0</v>
      </c>
      <c r="AO66" s="13">
        <f t="shared" ref="AO66:AO84" si="55">AN66/$AN$85</f>
        <v>0</v>
      </c>
    </row>
    <row r="67" spans="2:77" ht="15" thickBot="1" x14ac:dyDescent="0.35">
      <c r="B67" s="43" t="s">
        <v>59</v>
      </c>
      <c r="C67" s="44">
        <v>22</v>
      </c>
      <c r="D67" s="45">
        <f>C67/C68</f>
        <v>7.5085324232081918E-2</v>
      </c>
      <c r="E67" s="7">
        <v>3</v>
      </c>
      <c r="F67" s="24">
        <f>E67/$E$68</f>
        <v>0.1</v>
      </c>
      <c r="G67" s="44">
        <v>3</v>
      </c>
      <c r="H67" s="46">
        <f>G67/$G$68</f>
        <v>8.8235294117647065E-2</v>
      </c>
      <c r="J67" s="3" t="s">
        <v>31</v>
      </c>
      <c r="K67" s="7">
        <v>0</v>
      </c>
      <c r="L67" s="11">
        <f t="shared" ref="L67:L84" si="56">K67/$K$85</f>
        <v>0</v>
      </c>
      <c r="M67" s="7">
        <v>0</v>
      </c>
      <c r="N67" s="11">
        <f t="shared" si="46"/>
        <v>0</v>
      </c>
      <c r="O67" s="59">
        <v>0</v>
      </c>
      <c r="P67" s="25">
        <f t="shared" si="47"/>
        <v>0</v>
      </c>
      <c r="Q67" s="34"/>
      <c r="R67" s="3" t="s">
        <v>31</v>
      </c>
      <c r="S67" s="7">
        <v>0</v>
      </c>
      <c r="T67" s="11">
        <f t="shared" si="48"/>
        <v>0</v>
      </c>
      <c r="U67" s="7">
        <v>0</v>
      </c>
      <c r="V67" s="11">
        <f t="shared" si="49"/>
        <v>0</v>
      </c>
      <c r="W67" s="7">
        <v>0</v>
      </c>
      <c r="X67" s="25">
        <f t="shared" si="50"/>
        <v>0</v>
      </c>
      <c r="Y67" s="34"/>
      <c r="AA67" s="3" t="s">
        <v>31</v>
      </c>
      <c r="AB67" s="7">
        <v>0</v>
      </c>
      <c r="AC67" s="11">
        <f>AB67/$AB$85</f>
        <v>0</v>
      </c>
      <c r="AD67" s="7">
        <v>0</v>
      </c>
      <c r="AE67" s="11">
        <f t="shared" si="51"/>
        <v>0</v>
      </c>
      <c r="AF67" s="7">
        <v>0</v>
      </c>
      <c r="AG67" s="13">
        <f t="shared" si="52"/>
        <v>0</v>
      </c>
      <c r="AI67" s="3" t="s">
        <v>31</v>
      </c>
      <c r="AJ67" s="7">
        <v>0</v>
      </c>
      <c r="AK67" s="11">
        <f t="shared" si="53"/>
        <v>0</v>
      </c>
      <c r="AL67" s="7">
        <v>0</v>
      </c>
      <c r="AM67" s="11">
        <f t="shared" si="54"/>
        <v>0</v>
      </c>
      <c r="AN67" s="7">
        <v>0</v>
      </c>
      <c r="AO67" s="13">
        <f t="shared" si="55"/>
        <v>0</v>
      </c>
    </row>
    <row r="68" spans="2:77" ht="15" thickBot="1" x14ac:dyDescent="0.35">
      <c r="B68" s="47" t="s">
        <v>25</v>
      </c>
      <c r="C68" s="109">
        <f>SUM(C51:C67)</f>
        <v>293</v>
      </c>
      <c r="D68" s="110"/>
      <c r="E68" s="109">
        <f>SUM(E51:E67)</f>
        <v>30</v>
      </c>
      <c r="F68" s="110"/>
      <c r="G68" s="109">
        <f>SUM(G51:G67)</f>
        <v>34</v>
      </c>
      <c r="H68" s="110"/>
      <c r="J68" s="3" t="s">
        <v>32</v>
      </c>
      <c r="K68" s="31">
        <v>0</v>
      </c>
      <c r="L68" s="11">
        <f t="shared" si="56"/>
        <v>0</v>
      </c>
      <c r="M68" s="31">
        <v>0</v>
      </c>
      <c r="N68" s="11">
        <f t="shared" si="46"/>
        <v>0</v>
      </c>
      <c r="O68" s="67">
        <v>0</v>
      </c>
      <c r="P68" s="25">
        <f t="shared" si="47"/>
        <v>0</v>
      </c>
      <c r="Q68" s="35"/>
      <c r="R68" s="3" t="s">
        <v>32</v>
      </c>
      <c r="S68" s="31">
        <v>0</v>
      </c>
      <c r="T68" s="11">
        <f t="shared" si="48"/>
        <v>0</v>
      </c>
      <c r="U68" s="31">
        <v>0</v>
      </c>
      <c r="V68" s="11">
        <f t="shared" si="49"/>
        <v>0</v>
      </c>
      <c r="W68" s="31">
        <v>3</v>
      </c>
      <c r="X68" s="25">
        <f t="shared" si="50"/>
        <v>0.375</v>
      </c>
      <c r="Y68" s="35"/>
      <c r="AA68" s="3" t="s">
        <v>32</v>
      </c>
      <c r="AB68" s="31">
        <v>0</v>
      </c>
      <c r="AC68" s="11">
        <f t="shared" ref="AC68:AC82" si="57">AB68/$AB$85</f>
        <v>0</v>
      </c>
      <c r="AD68" s="31">
        <v>0</v>
      </c>
      <c r="AE68" s="11">
        <f t="shared" si="51"/>
        <v>0</v>
      </c>
      <c r="AF68" s="31">
        <v>0</v>
      </c>
      <c r="AG68" s="13">
        <f t="shared" si="52"/>
        <v>0</v>
      </c>
      <c r="AI68" s="3" t="s">
        <v>32</v>
      </c>
      <c r="AJ68" s="31">
        <v>0</v>
      </c>
      <c r="AK68" s="11">
        <f t="shared" si="53"/>
        <v>0</v>
      </c>
      <c r="AL68" s="31">
        <v>0</v>
      </c>
      <c r="AM68" s="11">
        <f t="shared" si="54"/>
        <v>0</v>
      </c>
      <c r="AN68" s="31">
        <v>0</v>
      </c>
      <c r="AO68" s="13">
        <f t="shared" si="55"/>
        <v>0</v>
      </c>
    </row>
    <row r="69" spans="2:77" ht="15" thickBot="1" x14ac:dyDescent="0.35">
      <c r="B69" s="32" t="s">
        <v>26</v>
      </c>
      <c r="C69" s="112">
        <f>C68/($C$68+$E$68+$G$68)</f>
        <v>0.82072829131652658</v>
      </c>
      <c r="D69" s="113"/>
      <c r="E69" s="112">
        <f>E68/($C$68+$E$68+$G$68)</f>
        <v>8.4033613445378158E-2</v>
      </c>
      <c r="F69" s="113"/>
      <c r="G69" s="112">
        <f>G68/($C$68+$E$68+$G$68)</f>
        <v>9.5238095238095233E-2</v>
      </c>
      <c r="H69" s="113"/>
      <c r="J69" s="3" t="s">
        <v>33</v>
      </c>
      <c r="K69" s="7">
        <v>0</v>
      </c>
      <c r="L69" s="11">
        <f t="shared" si="56"/>
        <v>0</v>
      </c>
      <c r="M69" s="7">
        <v>0</v>
      </c>
      <c r="N69" s="11">
        <f t="shared" si="46"/>
        <v>0</v>
      </c>
      <c r="O69" s="59">
        <v>0</v>
      </c>
      <c r="P69" s="25">
        <f t="shared" si="47"/>
        <v>0</v>
      </c>
      <c r="Q69" s="34"/>
      <c r="R69" s="3" t="s">
        <v>33</v>
      </c>
      <c r="S69" s="7">
        <v>0</v>
      </c>
      <c r="T69" s="11">
        <f t="shared" si="48"/>
        <v>0</v>
      </c>
      <c r="U69" s="7">
        <v>0</v>
      </c>
      <c r="V69" s="11">
        <f t="shared" si="49"/>
        <v>0</v>
      </c>
      <c r="W69" s="7">
        <v>0</v>
      </c>
      <c r="X69" s="25">
        <f t="shared" si="50"/>
        <v>0</v>
      </c>
      <c r="Y69" s="34"/>
      <c r="AA69" s="3" t="s">
        <v>33</v>
      </c>
      <c r="AB69" s="7">
        <v>0</v>
      </c>
      <c r="AC69" s="11">
        <f t="shared" si="57"/>
        <v>0</v>
      </c>
      <c r="AD69" s="7">
        <v>0</v>
      </c>
      <c r="AE69" s="11">
        <f t="shared" si="51"/>
        <v>0</v>
      </c>
      <c r="AF69" s="7">
        <v>0</v>
      </c>
      <c r="AG69" s="13">
        <f t="shared" si="52"/>
        <v>0</v>
      </c>
      <c r="AI69" s="3" t="s">
        <v>33</v>
      </c>
      <c r="AJ69" s="7">
        <v>0</v>
      </c>
      <c r="AK69" s="11">
        <f t="shared" si="53"/>
        <v>0</v>
      </c>
      <c r="AL69" s="7">
        <v>0</v>
      </c>
      <c r="AM69" s="11">
        <f t="shared" si="54"/>
        <v>0</v>
      </c>
      <c r="AN69" s="7">
        <v>0</v>
      </c>
      <c r="AO69" s="13">
        <f t="shared" si="55"/>
        <v>0</v>
      </c>
    </row>
    <row r="70" spans="2:77" ht="15" thickBot="1" x14ac:dyDescent="0.35">
      <c r="B70" s="48" t="s">
        <v>23</v>
      </c>
      <c r="C70" s="114">
        <v>0.85</v>
      </c>
      <c r="D70" s="115"/>
      <c r="E70" s="114">
        <v>0.1</v>
      </c>
      <c r="F70" s="115"/>
      <c r="G70" s="114">
        <v>0.05</v>
      </c>
      <c r="H70" s="115"/>
      <c r="J70" s="3" t="s">
        <v>18</v>
      </c>
      <c r="K70" s="7">
        <v>0</v>
      </c>
      <c r="L70" s="11">
        <f t="shared" si="56"/>
        <v>0</v>
      </c>
      <c r="M70" s="7">
        <v>0</v>
      </c>
      <c r="N70" s="11">
        <f t="shared" si="46"/>
        <v>0</v>
      </c>
      <c r="O70" s="59">
        <v>0</v>
      </c>
      <c r="P70" s="25">
        <f t="shared" si="47"/>
        <v>0</v>
      </c>
      <c r="Q70" s="34"/>
      <c r="R70" s="3" t="s">
        <v>18</v>
      </c>
      <c r="S70" s="7">
        <v>0</v>
      </c>
      <c r="T70" s="11">
        <f t="shared" si="48"/>
        <v>0</v>
      </c>
      <c r="U70" s="7">
        <v>0</v>
      </c>
      <c r="V70" s="11">
        <f t="shared" si="49"/>
        <v>0</v>
      </c>
      <c r="W70" s="7">
        <v>0</v>
      </c>
      <c r="X70" s="25">
        <f t="shared" si="50"/>
        <v>0</v>
      </c>
      <c r="Y70" s="34"/>
      <c r="AA70" s="3" t="s">
        <v>18</v>
      </c>
      <c r="AB70" s="7">
        <v>0</v>
      </c>
      <c r="AC70" s="11">
        <f t="shared" si="57"/>
        <v>0</v>
      </c>
      <c r="AD70" s="7">
        <v>0</v>
      </c>
      <c r="AE70" s="11">
        <f t="shared" si="51"/>
        <v>0</v>
      </c>
      <c r="AF70" s="7">
        <v>0</v>
      </c>
      <c r="AG70" s="13">
        <f t="shared" si="52"/>
        <v>0</v>
      </c>
      <c r="AI70" s="3" t="s">
        <v>18</v>
      </c>
      <c r="AJ70" s="7">
        <v>0</v>
      </c>
      <c r="AK70" s="11">
        <f t="shared" si="53"/>
        <v>0</v>
      </c>
      <c r="AL70" s="7">
        <v>0</v>
      </c>
      <c r="AM70" s="11">
        <f t="shared" si="54"/>
        <v>0</v>
      </c>
      <c r="AN70" s="7">
        <v>0</v>
      </c>
      <c r="AO70" s="13">
        <f t="shared" si="55"/>
        <v>0</v>
      </c>
    </row>
    <row r="71" spans="2:77" ht="15" thickBot="1" x14ac:dyDescent="0.35">
      <c r="B71" s="49" t="s">
        <v>24</v>
      </c>
      <c r="C71" s="102">
        <f>C69-C70</f>
        <v>-2.9271708683473396E-2</v>
      </c>
      <c r="D71" s="103"/>
      <c r="E71" s="102">
        <f>E70-E69</f>
        <v>1.5966386554621848E-2</v>
      </c>
      <c r="F71" s="103"/>
      <c r="G71" s="102">
        <f>G70-G69</f>
        <v>-4.523809523809523E-2</v>
      </c>
      <c r="H71" s="103"/>
      <c r="J71" s="3" t="s">
        <v>62</v>
      </c>
      <c r="K71" s="7">
        <v>561</v>
      </c>
      <c r="L71" s="11">
        <f t="shared" si="56"/>
        <v>0.65156794425087106</v>
      </c>
      <c r="M71" s="7">
        <v>3</v>
      </c>
      <c r="N71" s="11">
        <f t="shared" si="46"/>
        <v>0.375</v>
      </c>
      <c r="O71" s="59">
        <v>9</v>
      </c>
      <c r="P71" s="25">
        <f t="shared" si="47"/>
        <v>0.5</v>
      </c>
      <c r="Q71" s="34"/>
      <c r="R71" s="3" t="s">
        <v>34</v>
      </c>
      <c r="S71" s="7">
        <v>0</v>
      </c>
      <c r="T71" s="11">
        <f t="shared" si="48"/>
        <v>0</v>
      </c>
      <c r="U71" s="7">
        <v>0</v>
      </c>
      <c r="V71" s="11">
        <f t="shared" si="49"/>
        <v>0</v>
      </c>
      <c r="W71" s="7">
        <v>0</v>
      </c>
      <c r="X71" s="25">
        <f t="shared" si="50"/>
        <v>0</v>
      </c>
      <c r="Y71" s="34"/>
      <c r="AA71" s="3" t="s">
        <v>34</v>
      </c>
      <c r="AB71" s="7">
        <v>0</v>
      </c>
      <c r="AC71" s="11">
        <f t="shared" si="57"/>
        <v>0</v>
      </c>
      <c r="AD71" s="7">
        <v>0</v>
      </c>
      <c r="AE71" s="11">
        <f t="shared" si="51"/>
        <v>0</v>
      </c>
      <c r="AF71" s="7">
        <v>0</v>
      </c>
      <c r="AG71" s="13">
        <f t="shared" si="52"/>
        <v>0</v>
      </c>
      <c r="AI71" s="3" t="s">
        <v>76</v>
      </c>
      <c r="AJ71" s="7">
        <v>0</v>
      </c>
      <c r="AK71" s="11">
        <f t="shared" si="53"/>
        <v>0</v>
      </c>
      <c r="AL71" s="7">
        <v>1</v>
      </c>
      <c r="AM71" s="11">
        <f t="shared" si="54"/>
        <v>0.1</v>
      </c>
      <c r="AN71" s="7">
        <v>0</v>
      </c>
      <c r="AO71" s="13">
        <f t="shared" si="55"/>
        <v>0</v>
      </c>
    </row>
    <row r="72" spans="2:77" x14ac:dyDescent="0.3">
      <c r="B72" s="50"/>
      <c r="C72" s="29"/>
      <c r="D72" s="34"/>
      <c r="E72" s="29"/>
      <c r="F72" s="36"/>
      <c r="G72" s="29"/>
      <c r="H72" s="36"/>
      <c r="J72" s="3" t="s">
        <v>35</v>
      </c>
      <c r="K72" s="7">
        <v>0</v>
      </c>
      <c r="L72" s="11">
        <f t="shared" si="56"/>
        <v>0</v>
      </c>
      <c r="M72" s="7">
        <v>0</v>
      </c>
      <c r="N72" s="11">
        <f t="shared" si="46"/>
        <v>0</v>
      </c>
      <c r="O72" s="59">
        <v>0</v>
      </c>
      <c r="P72" s="25">
        <f t="shared" si="47"/>
        <v>0</v>
      </c>
      <c r="Q72" s="34"/>
      <c r="R72" s="3" t="s">
        <v>62</v>
      </c>
      <c r="S72" s="7">
        <v>374</v>
      </c>
      <c r="T72" s="11">
        <f t="shared" si="48"/>
        <v>0.65043478260869569</v>
      </c>
      <c r="U72" s="66">
        <v>17</v>
      </c>
      <c r="V72" s="11">
        <f t="shared" si="49"/>
        <v>0.80952380952380953</v>
      </c>
      <c r="W72" s="7">
        <v>2</v>
      </c>
      <c r="X72" s="25">
        <f t="shared" si="50"/>
        <v>0.25</v>
      </c>
      <c r="Y72" s="34"/>
      <c r="AA72" s="3" t="s">
        <v>62</v>
      </c>
      <c r="AB72" s="7">
        <v>87</v>
      </c>
      <c r="AC72" s="11">
        <f t="shared" si="57"/>
        <v>0.65413533834586468</v>
      </c>
      <c r="AD72" s="7">
        <v>10</v>
      </c>
      <c r="AE72" s="11">
        <f t="shared" si="51"/>
        <v>0.83333333333333337</v>
      </c>
      <c r="AF72" s="7">
        <v>19</v>
      </c>
      <c r="AG72" s="13">
        <f t="shared" si="52"/>
        <v>0.54285714285714282</v>
      </c>
      <c r="AI72" s="3" t="s">
        <v>62</v>
      </c>
      <c r="AJ72" s="7">
        <v>498</v>
      </c>
      <c r="AK72" s="11">
        <f t="shared" si="53"/>
        <v>0.65098039215686276</v>
      </c>
      <c r="AL72" s="7">
        <v>1</v>
      </c>
      <c r="AM72" s="11">
        <f t="shared" si="54"/>
        <v>0.1</v>
      </c>
      <c r="AN72" s="7">
        <v>0</v>
      </c>
      <c r="AO72" s="13">
        <f t="shared" si="55"/>
        <v>0</v>
      </c>
    </row>
    <row r="73" spans="2:77" x14ac:dyDescent="0.3">
      <c r="B73" s="33"/>
      <c r="C73" s="29"/>
      <c r="D73" s="34"/>
      <c r="E73" s="29"/>
      <c r="F73" s="36"/>
      <c r="G73" s="29"/>
      <c r="H73" s="36"/>
      <c r="J73" s="3" t="s">
        <v>20</v>
      </c>
      <c r="K73" s="7">
        <v>0</v>
      </c>
      <c r="L73" s="11">
        <f t="shared" si="56"/>
        <v>0</v>
      </c>
      <c r="M73" s="7">
        <v>0</v>
      </c>
      <c r="N73" s="11">
        <f t="shared" si="46"/>
        <v>0</v>
      </c>
      <c r="O73" s="59">
        <v>0</v>
      </c>
      <c r="P73" s="25">
        <f t="shared" si="47"/>
        <v>0</v>
      </c>
      <c r="Q73" s="34"/>
      <c r="R73" s="3" t="s">
        <v>20</v>
      </c>
      <c r="S73" s="7">
        <v>0</v>
      </c>
      <c r="T73" s="11">
        <f t="shared" si="48"/>
        <v>0</v>
      </c>
      <c r="U73" s="7">
        <v>0</v>
      </c>
      <c r="V73" s="11">
        <f t="shared" si="49"/>
        <v>0</v>
      </c>
      <c r="W73" s="7">
        <v>0</v>
      </c>
      <c r="X73" s="25">
        <f t="shared" si="50"/>
        <v>0</v>
      </c>
      <c r="Y73" s="34"/>
      <c r="AA73" s="3" t="s">
        <v>20</v>
      </c>
      <c r="AB73" s="7">
        <v>0</v>
      </c>
      <c r="AC73" s="11">
        <f t="shared" si="57"/>
        <v>0</v>
      </c>
      <c r="AD73" s="7">
        <v>0</v>
      </c>
      <c r="AE73" s="11">
        <f t="shared" si="51"/>
        <v>0</v>
      </c>
      <c r="AF73" s="7">
        <v>0</v>
      </c>
      <c r="AG73" s="13">
        <f t="shared" si="52"/>
        <v>0</v>
      </c>
      <c r="AI73" s="3" t="s">
        <v>20</v>
      </c>
      <c r="AJ73" s="7">
        <v>0</v>
      </c>
      <c r="AK73" s="11">
        <f t="shared" si="53"/>
        <v>0</v>
      </c>
      <c r="AL73" s="7">
        <v>0</v>
      </c>
      <c r="AM73" s="11">
        <f t="shared" si="54"/>
        <v>0</v>
      </c>
      <c r="AN73" s="7">
        <v>0</v>
      </c>
      <c r="AO73" s="13">
        <f t="shared" si="55"/>
        <v>0</v>
      </c>
    </row>
    <row r="74" spans="2:77" x14ac:dyDescent="0.3">
      <c r="B74" s="33"/>
      <c r="C74" s="29"/>
      <c r="D74" s="34"/>
      <c r="E74" s="29"/>
      <c r="F74" s="36"/>
      <c r="G74" s="29"/>
      <c r="H74" s="36"/>
      <c r="J74" s="3" t="s">
        <v>19</v>
      </c>
      <c r="K74" s="7">
        <v>0</v>
      </c>
      <c r="L74" s="11">
        <f t="shared" si="56"/>
        <v>0</v>
      </c>
      <c r="M74" s="7">
        <v>0</v>
      </c>
      <c r="N74" s="11">
        <f t="shared" si="46"/>
        <v>0</v>
      </c>
      <c r="O74" s="59">
        <v>0</v>
      </c>
      <c r="P74" s="25">
        <f t="shared" si="47"/>
        <v>0</v>
      </c>
      <c r="Q74" s="34"/>
      <c r="R74" s="3" t="s">
        <v>19</v>
      </c>
      <c r="S74" s="7">
        <v>0</v>
      </c>
      <c r="T74" s="11">
        <f t="shared" si="48"/>
        <v>0</v>
      </c>
      <c r="U74" s="7">
        <v>0</v>
      </c>
      <c r="V74" s="11">
        <f t="shared" si="49"/>
        <v>0</v>
      </c>
      <c r="W74" s="7">
        <v>1</v>
      </c>
      <c r="X74" s="25">
        <f t="shared" si="50"/>
        <v>0.125</v>
      </c>
      <c r="Y74" s="34"/>
      <c r="AA74" s="3" t="s">
        <v>19</v>
      </c>
      <c r="AB74" s="7">
        <v>0</v>
      </c>
      <c r="AC74" s="11">
        <f t="shared" si="57"/>
        <v>0</v>
      </c>
      <c r="AD74" s="7">
        <v>0</v>
      </c>
      <c r="AE74" s="11">
        <f t="shared" si="51"/>
        <v>0</v>
      </c>
      <c r="AF74" s="7">
        <v>0</v>
      </c>
      <c r="AG74" s="13">
        <f t="shared" si="52"/>
        <v>0</v>
      </c>
      <c r="AI74" s="3" t="s">
        <v>19</v>
      </c>
      <c r="AJ74" s="7">
        <v>0</v>
      </c>
      <c r="AK74" s="11">
        <f t="shared" si="53"/>
        <v>0</v>
      </c>
      <c r="AL74" s="7">
        <v>0</v>
      </c>
      <c r="AM74" s="11">
        <f t="shared" si="54"/>
        <v>0</v>
      </c>
      <c r="AN74" s="7">
        <v>0</v>
      </c>
      <c r="AO74" s="13">
        <f t="shared" si="55"/>
        <v>0</v>
      </c>
    </row>
    <row r="75" spans="2:77" x14ac:dyDescent="0.3">
      <c r="B75" s="33"/>
      <c r="C75" s="29"/>
      <c r="D75" s="34"/>
      <c r="E75" s="29"/>
      <c r="F75" s="36"/>
      <c r="G75" s="29"/>
      <c r="H75" s="36"/>
      <c r="J75" s="3" t="s">
        <v>15</v>
      </c>
      <c r="K75" s="7">
        <v>0</v>
      </c>
      <c r="L75" s="11">
        <f t="shared" si="56"/>
        <v>0</v>
      </c>
      <c r="M75" s="7">
        <v>0</v>
      </c>
      <c r="N75" s="11">
        <f t="shared" si="46"/>
        <v>0</v>
      </c>
      <c r="O75" s="59">
        <v>0</v>
      </c>
      <c r="P75" s="25">
        <f t="shared" si="47"/>
        <v>0</v>
      </c>
      <c r="Q75" s="34"/>
      <c r="R75" s="3" t="s">
        <v>15</v>
      </c>
      <c r="S75" s="7">
        <v>0</v>
      </c>
      <c r="T75" s="11">
        <f t="shared" si="48"/>
        <v>0</v>
      </c>
      <c r="U75" s="7">
        <v>0</v>
      </c>
      <c r="V75" s="11">
        <f t="shared" si="49"/>
        <v>0</v>
      </c>
      <c r="W75" s="7">
        <v>0</v>
      </c>
      <c r="X75" s="25">
        <f t="shared" si="50"/>
        <v>0</v>
      </c>
      <c r="Y75" s="34"/>
      <c r="AA75" s="3" t="s">
        <v>15</v>
      </c>
      <c r="AB75" s="7">
        <v>0</v>
      </c>
      <c r="AC75" s="11">
        <f t="shared" si="57"/>
        <v>0</v>
      </c>
      <c r="AD75" s="7">
        <v>0</v>
      </c>
      <c r="AE75" s="11">
        <f t="shared" si="51"/>
        <v>0</v>
      </c>
      <c r="AF75" s="7">
        <v>0</v>
      </c>
      <c r="AG75" s="13">
        <f t="shared" si="52"/>
        <v>0</v>
      </c>
      <c r="AI75" s="3" t="s">
        <v>15</v>
      </c>
      <c r="AJ75" s="7">
        <v>0</v>
      </c>
      <c r="AK75" s="11">
        <f t="shared" si="53"/>
        <v>0</v>
      </c>
      <c r="AL75" s="7">
        <v>0</v>
      </c>
      <c r="AM75" s="11">
        <f t="shared" si="54"/>
        <v>0</v>
      </c>
      <c r="AN75" s="7">
        <v>0</v>
      </c>
      <c r="AO75" s="13">
        <f t="shared" si="55"/>
        <v>0</v>
      </c>
    </row>
    <row r="76" spans="2:77" x14ac:dyDescent="0.3">
      <c r="B76" s="33"/>
      <c r="C76" s="29"/>
      <c r="D76" s="34"/>
      <c r="E76" s="29"/>
      <c r="F76" s="36"/>
      <c r="G76" s="29"/>
      <c r="H76" s="36"/>
      <c r="J76" s="3" t="s">
        <v>36</v>
      </c>
      <c r="K76" s="7">
        <v>0</v>
      </c>
      <c r="L76" s="11">
        <f t="shared" si="56"/>
        <v>0</v>
      </c>
      <c r="M76" s="7">
        <v>0</v>
      </c>
      <c r="N76" s="11">
        <f t="shared" si="46"/>
        <v>0</v>
      </c>
      <c r="O76" s="59">
        <v>0</v>
      </c>
      <c r="P76" s="25">
        <f t="shared" si="47"/>
        <v>0</v>
      </c>
      <c r="Q76" s="34"/>
      <c r="R76" s="3" t="s">
        <v>36</v>
      </c>
      <c r="S76" s="7">
        <v>0</v>
      </c>
      <c r="T76" s="11">
        <f t="shared" si="48"/>
        <v>0</v>
      </c>
      <c r="U76" s="7">
        <v>0</v>
      </c>
      <c r="V76" s="11">
        <f t="shared" si="49"/>
        <v>0</v>
      </c>
      <c r="W76" s="7">
        <v>0</v>
      </c>
      <c r="X76" s="25">
        <f t="shared" si="50"/>
        <v>0</v>
      </c>
      <c r="Y76" s="34"/>
      <c r="AA76" s="3" t="s">
        <v>36</v>
      </c>
      <c r="AB76" s="7">
        <v>0</v>
      </c>
      <c r="AC76" s="11">
        <f t="shared" si="57"/>
        <v>0</v>
      </c>
      <c r="AD76" s="7">
        <v>0</v>
      </c>
      <c r="AE76" s="11">
        <f t="shared" si="51"/>
        <v>0</v>
      </c>
      <c r="AF76" s="7">
        <v>0</v>
      </c>
      <c r="AG76" s="13">
        <f t="shared" si="52"/>
        <v>0</v>
      </c>
      <c r="AI76" s="3" t="s">
        <v>36</v>
      </c>
      <c r="AJ76" s="7">
        <v>0</v>
      </c>
      <c r="AK76" s="11">
        <f t="shared" si="53"/>
        <v>0</v>
      </c>
      <c r="AL76" s="7">
        <v>0</v>
      </c>
      <c r="AM76" s="11">
        <f t="shared" si="54"/>
        <v>0</v>
      </c>
      <c r="AN76" s="7">
        <v>0</v>
      </c>
      <c r="AO76" s="13">
        <f t="shared" si="55"/>
        <v>0</v>
      </c>
    </row>
    <row r="77" spans="2:77" x14ac:dyDescent="0.3">
      <c r="B77" s="33"/>
      <c r="C77" s="29"/>
      <c r="D77" s="34"/>
      <c r="E77" s="29"/>
      <c r="F77" s="36"/>
      <c r="G77" s="29"/>
      <c r="H77" s="36"/>
      <c r="J77" s="3" t="s">
        <v>37</v>
      </c>
      <c r="K77" s="7">
        <v>0</v>
      </c>
      <c r="L77" s="11">
        <f t="shared" si="56"/>
        <v>0</v>
      </c>
      <c r="M77" s="7">
        <v>0</v>
      </c>
      <c r="N77" s="11">
        <f t="shared" si="46"/>
        <v>0</v>
      </c>
      <c r="O77" s="59">
        <v>0</v>
      </c>
      <c r="P77" s="25">
        <f t="shared" si="47"/>
        <v>0</v>
      </c>
      <c r="Q77" s="34"/>
      <c r="R77" s="3" t="s">
        <v>37</v>
      </c>
      <c r="S77" s="7">
        <v>0</v>
      </c>
      <c r="T77" s="11">
        <f t="shared" si="48"/>
        <v>0</v>
      </c>
      <c r="U77" s="7">
        <v>0</v>
      </c>
      <c r="V77" s="11">
        <f t="shared" si="49"/>
        <v>0</v>
      </c>
      <c r="W77" s="7">
        <v>0</v>
      </c>
      <c r="X77" s="25">
        <f t="shared" si="50"/>
        <v>0</v>
      </c>
      <c r="Y77" s="34"/>
      <c r="AA77" s="3" t="s">
        <v>37</v>
      </c>
      <c r="AB77" s="7">
        <v>0</v>
      </c>
      <c r="AC77" s="11">
        <f t="shared" si="57"/>
        <v>0</v>
      </c>
      <c r="AD77" s="7">
        <v>0</v>
      </c>
      <c r="AE77" s="11">
        <f t="shared" si="51"/>
        <v>0</v>
      </c>
      <c r="AF77" s="7">
        <v>0</v>
      </c>
      <c r="AG77" s="13">
        <f t="shared" si="52"/>
        <v>0</v>
      </c>
      <c r="AI77" s="3" t="s">
        <v>37</v>
      </c>
      <c r="AJ77" s="7">
        <v>0</v>
      </c>
      <c r="AK77" s="11">
        <f t="shared" si="53"/>
        <v>0</v>
      </c>
      <c r="AL77" s="7">
        <v>0</v>
      </c>
      <c r="AM77" s="11">
        <f t="shared" si="54"/>
        <v>0</v>
      </c>
      <c r="AN77" s="7">
        <v>0</v>
      </c>
      <c r="AO77" s="13">
        <f t="shared" si="55"/>
        <v>0</v>
      </c>
    </row>
    <row r="78" spans="2:77" x14ac:dyDescent="0.3">
      <c r="B78" s="33"/>
      <c r="C78" s="29"/>
      <c r="D78" s="34"/>
      <c r="E78" s="29"/>
      <c r="F78" s="36"/>
      <c r="G78" s="29"/>
      <c r="H78" s="36"/>
      <c r="J78" s="3" t="s">
        <v>38</v>
      </c>
      <c r="K78" s="7">
        <v>0</v>
      </c>
      <c r="L78" s="11">
        <f t="shared" si="56"/>
        <v>0</v>
      </c>
      <c r="M78" s="7">
        <v>0</v>
      </c>
      <c r="N78" s="11">
        <f t="shared" si="46"/>
        <v>0</v>
      </c>
      <c r="O78" s="59">
        <v>0</v>
      </c>
      <c r="P78" s="25">
        <f t="shared" si="47"/>
        <v>0</v>
      </c>
      <c r="Q78" s="34"/>
      <c r="R78" s="3" t="s">
        <v>38</v>
      </c>
      <c r="S78" s="7">
        <v>0</v>
      </c>
      <c r="T78" s="11">
        <f t="shared" si="48"/>
        <v>0</v>
      </c>
      <c r="U78" s="7">
        <v>0</v>
      </c>
      <c r="V78" s="11">
        <f t="shared" si="49"/>
        <v>0</v>
      </c>
      <c r="W78" s="7">
        <v>0</v>
      </c>
      <c r="X78" s="25">
        <f t="shared" si="50"/>
        <v>0</v>
      </c>
      <c r="Y78" s="34"/>
      <c r="AA78" s="3" t="s">
        <v>38</v>
      </c>
      <c r="AB78" s="7">
        <v>0</v>
      </c>
      <c r="AC78" s="11">
        <f t="shared" si="57"/>
        <v>0</v>
      </c>
      <c r="AD78" s="7">
        <v>0</v>
      </c>
      <c r="AE78" s="11">
        <f t="shared" si="51"/>
        <v>0</v>
      </c>
      <c r="AF78" s="7">
        <v>0</v>
      </c>
      <c r="AG78" s="13">
        <f t="shared" si="52"/>
        <v>0</v>
      </c>
      <c r="AI78" s="3" t="s">
        <v>77</v>
      </c>
      <c r="AJ78" s="7">
        <v>0</v>
      </c>
      <c r="AK78" s="11">
        <f t="shared" si="53"/>
        <v>0</v>
      </c>
      <c r="AL78" s="7">
        <v>2</v>
      </c>
      <c r="AM78" s="11">
        <f t="shared" si="54"/>
        <v>0.2</v>
      </c>
      <c r="AN78" s="7">
        <v>0</v>
      </c>
      <c r="AO78" s="13">
        <f t="shared" si="55"/>
        <v>0</v>
      </c>
    </row>
    <row r="79" spans="2:77" x14ac:dyDescent="0.3">
      <c r="B79" s="33"/>
      <c r="C79" s="29"/>
      <c r="D79" s="34"/>
      <c r="E79" s="29"/>
      <c r="F79" s="36"/>
      <c r="G79" s="29"/>
      <c r="H79" s="36"/>
      <c r="J79" s="3" t="s">
        <v>39</v>
      </c>
      <c r="K79" s="31">
        <v>0</v>
      </c>
      <c r="L79" s="11">
        <f t="shared" si="56"/>
        <v>0</v>
      </c>
      <c r="M79" s="31">
        <v>0</v>
      </c>
      <c r="N79" s="11">
        <f t="shared" si="46"/>
        <v>0</v>
      </c>
      <c r="O79" s="67">
        <v>0</v>
      </c>
      <c r="P79" s="25">
        <f t="shared" si="47"/>
        <v>0</v>
      </c>
      <c r="Q79" s="34"/>
      <c r="R79" s="3" t="s">
        <v>39</v>
      </c>
      <c r="S79" s="31">
        <v>0</v>
      </c>
      <c r="T79" s="11">
        <f t="shared" si="48"/>
        <v>0</v>
      </c>
      <c r="U79" s="31">
        <v>0</v>
      </c>
      <c r="V79" s="11">
        <f t="shared" si="49"/>
        <v>0</v>
      </c>
      <c r="W79" s="31">
        <v>0</v>
      </c>
      <c r="X79" s="25">
        <f t="shared" si="50"/>
        <v>0</v>
      </c>
      <c r="Y79" s="34"/>
      <c r="AA79" s="3" t="s">
        <v>39</v>
      </c>
      <c r="AB79" s="31">
        <v>0</v>
      </c>
      <c r="AC79" s="11">
        <f t="shared" si="57"/>
        <v>0</v>
      </c>
      <c r="AD79" s="31">
        <v>0</v>
      </c>
      <c r="AE79" s="11">
        <f t="shared" si="51"/>
        <v>0</v>
      </c>
      <c r="AF79" s="31">
        <v>0</v>
      </c>
      <c r="AG79" s="13">
        <f t="shared" si="52"/>
        <v>0</v>
      </c>
      <c r="AI79" s="3" t="s">
        <v>39</v>
      </c>
      <c r="AJ79" s="31">
        <v>0</v>
      </c>
      <c r="AK79" s="11">
        <f t="shared" si="53"/>
        <v>0</v>
      </c>
      <c r="AL79" s="31">
        <v>0</v>
      </c>
      <c r="AM79" s="11">
        <f t="shared" si="54"/>
        <v>0</v>
      </c>
      <c r="AN79" s="31">
        <v>0</v>
      </c>
      <c r="AO79" s="13">
        <f t="shared" si="55"/>
        <v>0</v>
      </c>
    </row>
    <row r="80" spans="2:77" x14ac:dyDescent="0.3">
      <c r="B80" s="33"/>
      <c r="C80" s="29"/>
      <c r="D80" s="34"/>
      <c r="E80" s="29"/>
      <c r="F80" s="36"/>
      <c r="G80" s="29"/>
      <c r="H80" s="36"/>
      <c r="J80" s="3" t="s">
        <v>40</v>
      </c>
      <c r="K80" s="7">
        <v>0</v>
      </c>
      <c r="L80" s="11">
        <f t="shared" si="56"/>
        <v>0</v>
      </c>
      <c r="M80" s="7">
        <v>0</v>
      </c>
      <c r="N80" s="11">
        <f t="shared" si="46"/>
        <v>0</v>
      </c>
      <c r="O80" s="59">
        <v>0</v>
      </c>
      <c r="P80" s="25">
        <f t="shared" si="47"/>
        <v>0</v>
      </c>
      <c r="Q80" s="34"/>
      <c r="R80" s="3" t="s">
        <v>40</v>
      </c>
      <c r="S80" s="7">
        <v>0</v>
      </c>
      <c r="T80" s="11">
        <f t="shared" si="48"/>
        <v>0</v>
      </c>
      <c r="U80" s="7">
        <v>0</v>
      </c>
      <c r="V80" s="11">
        <f t="shared" si="49"/>
        <v>0</v>
      </c>
      <c r="W80" s="7">
        <v>0</v>
      </c>
      <c r="X80" s="25">
        <f t="shared" si="50"/>
        <v>0</v>
      </c>
      <c r="Y80" s="34"/>
      <c r="AA80" s="3" t="s">
        <v>40</v>
      </c>
      <c r="AB80" s="7">
        <v>0</v>
      </c>
      <c r="AC80" s="11">
        <f t="shared" si="57"/>
        <v>0</v>
      </c>
      <c r="AD80" s="7">
        <v>0</v>
      </c>
      <c r="AE80" s="11">
        <f t="shared" si="51"/>
        <v>0</v>
      </c>
      <c r="AF80" s="7">
        <v>0</v>
      </c>
      <c r="AG80" s="13">
        <f t="shared" si="52"/>
        <v>0</v>
      </c>
      <c r="AI80" s="3" t="s">
        <v>40</v>
      </c>
      <c r="AJ80" s="7">
        <v>0</v>
      </c>
      <c r="AK80" s="11">
        <f t="shared" si="53"/>
        <v>0</v>
      </c>
      <c r="AL80" s="7">
        <v>1</v>
      </c>
      <c r="AM80" s="11">
        <f t="shared" si="54"/>
        <v>0.1</v>
      </c>
      <c r="AN80" s="7">
        <v>0</v>
      </c>
      <c r="AO80" s="13">
        <f t="shared" si="55"/>
        <v>0</v>
      </c>
    </row>
    <row r="81" spans="2:41" x14ac:dyDescent="0.3">
      <c r="B81" s="33"/>
      <c r="C81" s="29"/>
      <c r="D81" s="34"/>
      <c r="E81" s="29"/>
      <c r="F81" s="36"/>
      <c r="G81" s="29"/>
      <c r="H81" s="36"/>
      <c r="J81" s="3" t="s">
        <v>16</v>
      </c>
      <c r="K81" s="7">
        <v>0</v>
      </c>
      <c r="L81" s="11">
        <f t="shared" si="56"/>
        <v>0</v>
      </c>
      <c r="M81" s="7">
        <v>0</v>
      </c>
      <c r="N81" s="11">
        <f t="shared" si="46"/>
        <v>0</v>
      </c>
      <c r="O81" s="59">
        <v>0</v>
      </c>
      <c r="P81" s="25">
        <f t="shared" si="47"/>
        <v>0</v>
      </c>
      <c r="Q81" s="34"/>
      <c r="R81" s="3" t="s">
        <v>16</v>
      </c>
      <c r="S81" s="7">
        <v>0</v>
      </c>
      <c r="T81" s="11">
        <f t="shared" si="48"/>
        <v>0</v>
      </c>
      <c r="U81" s="7">
        <v>0</v>
      </c>
      <c r="V81" s="11">
        <f t="shared" si="49"/>
        <v>0</v>
      </c>
      <c r="W81" s="7">
        <v>0</v>
      </c>
      <c r="X81" s="25">
        <f t="shared" si="50"/>
        <v>0</v>
      </c>
      <c r="Y81" s="34"/>
      <c r="AA81" s="3" t="s">
        <v>16</v>
      </c>
      <c r="AB81" s="7">
        <v>0</v>
      </c>
      <c r="AC81" s="11">
        <f t="shared" si="57"/>
        <v>0</v>
      </c>
      <c r="AD81" s="7">
        <v>0</v>
      </c>
      <c r="AE81" s="11">
        <f t="shared" si="51"/>
        <v>0</v>
      </c>
      <c r="AF81" s="7">
        <v>0</v>
      </c>
      <c r="AG81" s="13">
        <f t="shared" si="52"/>
        <v>0</v>
      </c>
      <c r="AI81" s="3" t="s">
        <v>16</v>
      </c>
      <c r="AJ81" s="7">
        <v>0</v>
      </c>
      <c r="AK81" s="11">
        <f t="shared" si="53"/>
        <v>0</v>
      </c>
      <c r="AL81" s="7">
        <v>0</v>
      </c>
      <c r="AM81" s="11">
        <f t="shared" si="54"/>
        <v>0</v>
      </c>
      <c r="AN81" s="7">
        <v>0</v>
      </c>
      <c r="AO81" s="13">
        <f t="shared" si="55"/>
        <v>0</v>
      </c>
    </row>
    <row r="82" spans="2:41" x14ac:dyDescent="0.3">
      <c r="B82" s="33"/>
      <c r="C82" s="29"/>
      <c r="D82" s="34"/>
      <c r="E82" s="29"/>
      <c r="F82" s="36"/>
      <c r="G82" s="29"/>
      <c r="H82" s="36"/>
      <c r="J82" s="3" t="s">
        <v>17</v>
      </c>
      <c r="K82" s="7">
        <v>0</v>
      </c>
      <c r="L82" s="11">
        <f t="shared" si="56"/>
        <v>0</v>
      </c>
      <c r="M82" s="7">
        <v>0</v>
      </c>
      <c r="N82" s="11">
        <f t="shared" si="46"/>
        <v>0</v>
      </c>
      <c r="O82" s="59">
        <v>0</v>
      </c>
      <c r="P82" s="25">
        <f t="shared" si="47"/>
        <v>0</v>
      </c>
      <c r="Q82" s="34"/>
      <c r="R82" s="3" t="s">
        <v>17</v>
      </c>
      <c r="S82" s="7">
        <v>0</v>
      </c>
      <c r="T82" s="11">
        <f t="shared" si="48"/>
        <v>0</v>
      </c>
      <c r="U82" s="7">
        <v>0</v>
      </c>
      <c r="V82" s="11">
        <f t="shared" si="49"/>
        <v>0</v>
      </c>
      <c r="W82" s="7">
        <v>0</v>
      </c>
      <c r="X82" s="25">
        <f t="shared" si="50"/>
        <v>0</v>
      </c>
      <c r="Y82" s="34"/>
      <c r="AA82" s="3" t="s">
        <v>17</v>
      </c>
      <c r="AB82" s="7">
        <v>0</v>
      </c>
      <c r="AC82" s="11">
        <f t="shared" si="57"/>
        <v>0</v>
      </c>
      <c r="AD82" s="7">
        <v>0</v>
      </c>
      <c r="AE82" s="11">
        <f t="shared" si="51"/>
        <v>0</v>
      </c>
      <c r="AF82" s="7">
        <v>0</v>
      </c>
      <c r="AG82" s="13">
        <f t="shared" si="52"/>
        <v>0</v>
      </c>
      <c r="AI82" s="3" t="s">
        <v>17</v>
      </c>
      <c r="AJ82" s="7">
        <v>0</v>
      </c>
      <c r="AK82" s="11">
        <f t="shared" si="53"/>
        <v>0</v>
      </c>
      <c r="AL82" s="7">
        <v>0</v>
      </c>
      <c r="AM82" s="11">
        <f t="shared" si="54"/>
        <v>0</v>
      </c>
      <c r="AN82" s="7">
        <v>0</v>
      </c>
      <c r="AO82" s="13">
        <f t="shared" si="55"/>
        <v>0</v>
      </c>
    </row>
    <row r="83" spans="2:41" x14ac:dyDescent="0.3">
      <c r="B83" s="33"/>
      <c r="C83" s="29"/>
      <c r="D83" s="34"/>
      <c r="E83" s="29"/>
      <c r="F83" s="36"/>
      <c r="G83" s="29"/>
      <c r="H83" s="36"/>
      <c r="J83" s="2" t="s">
        <v>41</v>
      </c>
      <c r="K83" s="7">
        <v>110</v>
      </c>
      <c r="L83" s="11">
        <f t="shared" si="56"/>
        <v>0.12775842044134728</v>
      </c>
      <c r="M83" s="7">
        <v>3</v>
      </c>
      <c r="N83" s="11">
        <f t="shared" si="46"/>
        <v>0.375</v>
      </c>
      <c r="O83" s="59">
        <v>6</v>
      </c>
      <c r="P83" s="25">
        <f t="shared" si="47"/>
        <v>0.33333333333333331</v>
      </c>
      <c r="Q83" s="35"/>
      <c r="R83" s="2" t="s">
        <v>41</v>
      </c>
      <c r="S83" s="7">
        <v>74</v>
      </c>
      <c r="T83" s="11">
        <f t="shared" si="48"/>
        <v>0.12869565217391304</v>
      </c>
      <c r="U83" s="66">
        <v>1</v>
      </c>
      <c r="V83" s="11">
        <f t="shared" si="49"/>
        <v>4.7619047619047616E-2</v>
      </c>
      <c r="W83" s="7">
        <v>2</v>
      </c>
      <c r="X83" s="25">
        <f t="shared" si="50"/>
        <v>0.25</v>
      </c>
      <c r="Y83" s="35"/>
      <c r="AA83" s="2" t="s">
        <v>41</v>
      </c>
      <c r="AB83" s="7">
        <v>17</v>
      </c>
      <c r="AC83" s="11">
        <f>AB83/$AB$85</f>
        <v>0.12781954887218044</v>
      </c>
      <c r="AD83" s="7">
        <v>0</v>
      </c>
      <c r="AE83" s="11">
        <f t="shared" si="51"/>
        <v>0</v>
      </c>
      <c r="AF83" s="7">
        <v>2</v>
      </c>
      <c r="AG83" s="13">
        <f t="shared" si="52"/>
        <v>5.7142857142857141E-2</v>
      </c>
      <c r="AI83" s="2" t="s">
        <v>41</v>
      </c>
      <c r="AJ83" s="7">
        <v>98</v>
      </c>
      <c r="AK83" s="11">
        <f t="shared" si="53"/>
        <v>0.12810457516339868</v>
      </c>
      <c r="AL83" s="7">
        <v>0</v>
      </c>
      <c r="AM83" s="11">
        <f t="shared" si="54"/>
        <v>0</v>
      </c>
      <c r="AN83" s="7">
        <v>3</v>
      </c>
      <c r="AO83" s="13">
        <f t="shared" si="55"/>
        <v>0.33333333333333331</v>
      </c>
    </row>
    <row r="84" spans="2:41" ht="15" thickBot="1" x14ac:dyDescent="0.35">
      <c r="B84" s="33"/>
      <c r="C84" s="29"/>
      <c r="D84" s="34"/>
      <c r="E84" s="29"/>
      <c r="F84" s="36"/>
      <c r="G84" s="29"/>
      <c r="H84" s="36"/>
      <c r="J84" s="30" t="s">
        <v>10</v>
      </c>
      <c r="K84" s="6">
        <v>40</v>
      </c>
      <c r="L84" s="39">
        <f t="shared" si="56"/>
        <v>4.6457607433217189E-2</v>
      </c>
      <c r="M84" s="6">
        <v>2</v>
      </c>
      <c r="N84" s="12">
        <f t="shared" si="46"/>
        <v>0.25</v>
      </c>
      <c r="O84" s="61">
        <v>0</v>
      </c>
      <c r="P84" s="54">
        <f t="shared" si="47"/>
        <v>0</v>
      </c>
      <c r="Q84" s="35"/>
      <c r="R84" s="30" t="s">
        <v>10</v>
      </c>
      <c r="S84" s="6">
        <v>27</v>
      </c>
      <c r="T84" s="39">
        <f t="shared" si="48"/>
        <v>4.6956521739130432E-2</v>
      </c>
      <c r="U84" s="6">
        <v>3</v>
      </c>
      <c r="V84" s="12">
        <f t="shared" si="49"/>
        <v>0.14285714285714285</v>
      </c>
      <c r="W84" s="6">
        <v>0</v>
      </c>
      <c r="X84" s="54">
        <f t="shared" si="50"/>
        <v>0</v>
      </c>
      <c r="Y84" s="35"/>
      <c r="AA84" s="30" t="s">
        <v>10</v>
      </c>
      <c r="AB84" s="6">
        <v>6</v>
      </c>
      <c r="AC84" s="39">
        <f>AB84/$AB$85</f>
        <v>4.5112781954887216E-2</v>
      </c>
      <c r="AD84" s="6">
        <v>2</v>
      </c>
      <c r="AE84" s="12">
        <f t="shared" si="51"/>
        <v>0.16666666666666666</v>
      </c>
      <c r="AF84" s="6">
        <v>3</v>
      </c>
      <c r="AG84" s="54">
        <f t="shared" si="52"/>
        <v>8.5714285714285715E-2</v>
      </c>
      <c r="AI84" s="30" t="s">
        <v>10</v>
      </c>
      <c r="AJ84" s="6">
        <v>36</v>
      </c>
      <c r="AK84" s="39">
        <f t="shared" si="53"/>
        <v>4.7058823529411764E-2</v>
      </c>
      <c r="AL84" s="6">
        <v>1</v>
      </c>
      <c r="AM84" s="12">
        <f t="shared" si="54"/>
        <v>0.1</v>
      </c>
      <c r="AN84" s="6">
        <v>2</v>
      </c>
      <c r="AO84" s="54">
        <f t="shared" si="55"/>
        <v>0.22222222222222221</v>
      </c>
    </row>
    <row r="85" spans="2:41" ht="15" thickBot="1" x14ac:dyDescent="0.35">
      <c r="B85" s="29"/>
      <c r="C85" s="29"/>
      <c r="D85" s="29"/>
      <c r="E85" s="29"/>
      <c r="F85" s="29"/>
      <c r="G85" s="29"/>
      <c r="H85" s="29"/>
      <c r="J85" s="5" t="s">
        <v>25</v>
      </c>
      <c r="K85" s="92">
        <f>SUM(K51:K84)</f>
        <v>861</v>
      </c>
      <c r="L85" s="103"/>
      <c r="M85" s="111">
        <f>SUM(M51:M84)</f>
        <v>8</v>
      </c>
      <c r="N85" s="103"/>
      <c r="O85" s="111">
        <f>SUM(O51:O84)</f>
        <v>18</v>
      </c>
      <c r="P85" s="103"/>
      <c r="Q85" s="29"/>
      <c r="R85" s="5" t="s">
        <v>25</v>
      </c>
      <c r="S85" s="92">
        <f>SUM(S51:S84)</f>
        <v>575</v>
      </c>
      <c r="T85" s="103"/>
      <c r="U85" s="111">
        <f>SUM(U51:U84)</f>
        <v>21</v>
      </c>
      <c r="V85" s="103"/>
      <c r="W85" s="111">
        <f>SUM(W51:W84)</f>
        <v>8</v>
      </c>
      <c r="X85" s="103"/>
      <c r="Y85" s="29"/>
      <c r="AA85" s="5" t="s">
        <v>25</v>
      </c>
      <c r="AB85" s="92">
        <f>SUM(AB51:AB84)</f>
        <v>133</v>
      </c>
      <c r="AC85" s="103"/>
      <c r="AD85" s="111">
        <f>SUM(AD51:AD84)</f>
        <v>12</v>
      </c>
      <c r="AE85" s="103"/>
      <c r="AF85" s="111">
        <f>SUM(AF51:AF84)</f>
        <v>35</v>
      </c>
      <c r="AG85" s="103"/>
      <c r="AI85" s="5" t="s">
        <v>25</v>
      </c>
      <c r="AJ85" s="92">
        <f>SUM(AJ51:AJ84)</f>
        <v>765</v>
      </c>
      <c r="AK85" s="103"/>
      <c r="AL85" s="111">
        <f>SUM(AL51:AL84)</f>
        <v>10</v>
      </c>
      <c r="AM85" s="103"/>
      <c r="AN85" s="111">
        <f>SUM(AN51:AN84)</f>
        <v>9</v>
      </c>
      <c r="AO85" s="103"/>
    </row>
    <row r="86" spans="2:41" ht="15" thickBot="1" x14ac:dyDescent="0.35">
      <c r="J86" s="19" t="s">
        <v>26</v>
      </c>
      <c r="K86" s="112">
        <f>K85/($K$85+$M$85+$O$85)</f>
        <v>0.97068771138669674</v>
      </c>
      <c r="L86" s="113"/>
      <c r="M86" s="112">
        <f>M85/($K$85+$M$85+$O$85)</f>
        <v>9.0191657271702363E-3</v>
      </c>
      <c r="N86" s="113"/>
      <c r="O86" s="112">
        <f>O85/($K$85+$M$85+$O$85)</f>
        <v>2.0293122886133032E-2</v>
      </c>
      <c r="P86" s="113"/>
      <c r="Q86" s="37"/>
      <c r="R86" s="19" t="s">
        <v>26</v>
      </c>
      <c r="S86" s="112">
        <f>S85/($S$85+$U$85+$W$85)</f>
        <v>0.95198675496688745</v>
      </c>
      <c r="T86" s="103"/>
      <c r="U86" s="112">
        <f>U85/($S$85+$U$85+$W$85)</f>
        <v>3.4768211920529798E-2</v>
      </c>
      <c r="V86" s="103"/>
      <c r="W86" s="112">
        <f>W85/($S$85+$U$85+$W$85)</f>
        <v>1.3245033112582781E-2</v>
      </c>
      <c r="X86" s="116"/>
      <c r="Y86" s="37"/>
      <c r="AA86" s="19" t="s">
        <v>26</v>
      </c>
      <c r="AB86" s="112">
        <f>AB85/($AB$85+$AD$85+$AF$85)</f>
        <v>0.73888888888888893</v>
      </c>
      <c r="AC86" s="103"/>
      <c r="AD86" s="112">
        <f>AD85/($AB$85+$AD$85+$AF$85)</f>
        <v>6.6666666666666666E-2</v>
      </c>
      <c r="AE86" s="103"/>
      <c r="AF86" s="112">
        <f>AF85/($AB$85+$AD$85+$AF$85)</f>
        <v>0.19444444444444445</v>
      </c>
      <c r="AG86" s="116"/>
      <c r="AI86" s="19" t="s">
        <v>26</v>
      </c>
      <c r="AJ86" s="112">
        <f>AJ85/($AJ$85+$AL$85+$AN$85)</f>
        <v>0.97576530612244894</v>
      </c>
      <c r="AK86" s="103"/>
      <c r="AL86" s="112">
        <f t="shared" ref="AL86" si="58">AL85/($AJ$85+$AL$85+$AN$85)</f>
        <v>1.2755102040816327E-2</v>
      </c>
      <c r="AM86" s="103"/>
      <c r="AN86" s="112">
        <f t="shared" ref="AN86" si="59">AN85/($AJ$85+$AL$85+$AN$85)</f>
        <v>1.1479591836734694E-2</v>
      </c>
      <c r="AO86" s="103"/>
    </row>
    <row r="87" spans="2:41" ht="15" thickBot="1" x14ac:dyDescent="0.35">
      <c r="J87" s="20" t="s">
        <v>23</v>
      </c>
      <c r="K87" s="117">
        <v>0.85</v>
      </c>
      <c r="L87" s="118"/>
      <c r="M87" s="117">
        <v>0.1</v>
      </c>
      <c r="N87" s="118"/>
      <c r="O87" s="117">
        <v>0.05</v>
      </c>
      <c r="P87" s="118"/>
      <c r="Q87" s="29"/>
      <c r="R87" s="20" t="s">
        <v>23</v>
      </c>
      <c r="S87" s="117">
        <v>0.85</v>
      </c>
      <c r="T87" s="118"/>
      <c r="U87" s="117">
        <v>0.1</v>
      </c>
      <c r="V87" s="118"/>
      <c r="W87" s="117">
        <v>0.05</v>
      </c>
      <c r="X87" s="118"/>
      <c r="Y87" s="29"/>
      <c r="AA87" s="20" t="s">
        <v>23</v>
      </c>
      <c r="AB87" s="117">
        <v>0.85</v>
      </c>
      <c r="AC87" s="118"/>
      <c r="AD87" s="117">
        <v>0.1</v>
      </c>
      <c r="AE87" s="118"/>
      <c r="AF87" s="117">
        <v>0.05</v>
      </c>
      <c r="AG87" s="118"/>
      <c r="AI87" s="20" t="s">
        <v>23</v>
      </c>
      <c r="AJ87" s="117">
        <v>0.85</v>
      </c>
      <c r="AK87" s="118"/>
      <c r="AL87" s="117">
        <v>0.1</v>
      </c>
      <c r="AM87" s="118"/>
      <c r="AN87" s="117">
        <v>0.05</v>
      </c>
      <c r="AO87" s="118"/>
    </row>
    <row r="88" spans="2:41" ht="15" thickBot="1" x14ac:dyDescent="0.35">
      <c r="J88" s="21" t="s">
        <v>24</v>
      </c>
      <c r="K88" s="102">
        <f>K86-K87</f>
        <v>0.12068771138669676</v>
      </c>
      <c r="L88" s="103"/>
      <c r="M88" s="102">
        <f>M87-M86</f>
        <v>9.0980834272829769E-2</v>
      </c>
      <c r="N88" s="103"/>
      <c r="O88" s="102">
        <f>O87-O86</f>
        <v>2.9706877113866971E-2</v>
      </c>
      <c r="P88" s="103"/>
      <c r="Q88" s="29"/>
      <c r="R88" s="21" t="s">
        <v>24</v>
      </c>
      <c r="S88" s="119">
        <f>S86-S87</f>
        <v>0.10198675496688747</v>
      </c>
      <c r="T88" s="120"/>
      <c r="U88" s="119">
        <f>U87-U86</f>
        <v>6.5231788079470207E-2</v>
      </c>
      <c r="V88" s="120"/>
      <c r="W88" s="119">
        <f>W87-W86</f>
        <v>3.6754966887417223E-2</v>
      </c>
      <c r="X88" s="120"/>
      <c r="Y88" s="29"/>
      <c r="AA88" s="21" t="s">
        <v>24</v>
      </c>
      <c r="AB88" s="121">
        <f>AB86-AB87</f>
        <v>-0.11111111111111105</v>
      </c>
      <c r="AC88" s="122"/>
      <c r="AD88" s="119">
        <f>AD87-AD86</f>
        <v>3.333333333333334E-2</v>
      </c>
      <c r="AE88" s="120"/>
      <c r="AF88" s="121">
        <f>AF87-AF86</f>
        <v>-0.14444444444444443</v>
      </c>
      <c r="AG88" s="122"/>
      <c r="AI88" s="21" t="s">
        <v>24</v>
      </c>
      <c r="AJ88" s="119">
        <f>AJ86-AJ87</f>
        <v>0.12576530612244896</v>
      </c>
      <c r="AK88" s="120"/>
      <c r="AL88" s="119">
        <f>AL87-AL86</f>
        <v>8.7244897959183679E-2</v>
      </c>
      <c r="AM88" s="120"/>
      <c r="AN88" s="119">
        <f>AN87-AN86</f>
        <v>3.852040816326531E-2</v>
      </c>
      <c r="AO88" s="120"/>
    </row>
  </sheetData>
  <mergeCells count="264">
    <mergeCell ref="DA15:DB15"/>
    <mergeCell ref="DC15:DD15"/>
    <mergeCell ref="DE15:DF15"/>
    <mergeCell ref="DA16:DB16"/>
    <mergeCell ref="DC16:DD16"/>
    <mergeCell ref="DE16:DF16"/>
    <mergeCell ref="DE18:DF18"/>
    <mergeCell ref="DA3:DB3"/>
    <mergeCell ref="DC3:DD3"/>
    <mergeCell ref="DE3:DF3"/>
    <mergeCell ref="DA13:DB13"/>
    <mergeCell ref="DC13:DD13"/>
    <mergeCell ref="DE13:DF13"/>
    <mergeCell ref="DA14:DB14"/>
    <mergeCell ref="DC14:DD14"/>
    <mergeCell ref="DE14:DF14"/>
    <mergeCell ref="AB88:AC88"/>
    <mergeCell ref="AD88:AE88"/>
    <mergeCell ref="AF88:AG88"/>
    <mergeCell ref="AJ88:AK88"/>
    <mergeCell ref="AL88:AM88"/>
    <mergeCell ref="AN88:AO88"/>
    <mergeCell ref="K88:L88"/>
    <mergeCell ref="M88:N88"/>
    <mergeCell ref="O88:P88"/>
    <mergeCell ref="S88:T88"/>
    <mergeCell ref="U88:V88"/>
    <mergeCell ref="W88:X88"/>
    <mergeCell ref="AB87:AC87"/>
    <mergeCell ref="AD87:AE87"/>
    <mergeCell ref="AF87:AG87"/>
    <mergeCell ref="AJ87:AK87"/>
    <mergeCell ref="AL87:AM87"/>
    <mergeCell ref="AN87:AO87"/>
    <mergeCell ref="K87:L87"/>
    <mergeCell ref="M87:N87"/>
    <mergeCell ref="O87:P87"/>
    <mergeCell ref="S87:T87"/>
    <mergeCell ref="U87:V87"/>
    <mergeCell ref="W87:X87"/>
    <mergeCell ref="AB86:AC86"/>
    <mergeCell ref="AD86:AE86"/>
    <mergeCell ref="AF86:AG86"/>
    <mergeCell ref="AJ86:AK86"/>
    <mergeCell ref="AL86:AM86"/>
    <mergeCell ref="AN86:AO86"/>
    <mergeCell ref="K86:L86"/>
    <mergeCell ref="M86:N86"/>
    <mergeCell ref="O86:P86"/>
    <mergeCell ref="S86:T86"/>
    <mergeCell ref="U86:V86"/>
    <mergeCell ref="W86:X86"/>
    <mergeCell ref="AB85:AC85"/>
    <mergeCell ref="AD85:AE85"/>
    <mergeCell ref="AF85:AG85"/>
    <mergeCell ref="AJ85:AK85"/>
    <mergeCell ref="AL85:AM85"/>
    <mergeCell ref="AN85:AO85"/>
    <mergeCell ref="K85:L85"/>
    <mergeCell ref="M85:N85"/>
    <mergeCell ref="O85:P85"/>
    <mergeCell ref="S85:T85"/>
    <mergeCell ref="U85:V85"/>
    <mergeCell ref="W85:X85"/>
    <mergeCell ref="C70:D70"/>
    <mergeCell ref="E70:F70"/>
    <mergeCell ref="G70:H70"/>
    <mergeCell ref="C71:D71"/>
    <mergeCell ref="E71:F71"/>
    <mergeCell ref="G71:H71"/>
    <mergeCell ref="AL50:AM50"/>
    <mergeCell ref="AN50:AO50"/>
    <mergeCell ref="C68:D68"/>
    <mergeCell ref="E68:F68"/>
    <mergeCell ref="G68:H68"/>
    <mergeCell ref="C69:D69"/>
    <mergeCell ref="E69:F69"/>
    <mergeCell ref="G69:H69"/>
    <mergeCell ref="U50:V50"/>
    <mergeCell ref="W50:X50"/>
    <mergeCell ref="AB50:AC50"/>
    <mergeCell ref="AD50:AE50"/>
    <mergeCell ref="AF50:AG50"/>
    <mergeCell ref="AJ50:AK50"/>
    <mergeCell ref="BD19:BE19"/>
    <mergeCell ref="G22:H22"/>
    <mergeCell ref="G39:H39"/>
    <mergeCell ref="C50:D50"/>
    <mergeCell ref="E50:F50"/>
    <mergeCell ref="G50:H50"/>
    <mergeCell ref="K50:L50"/>
    <mergeCell ref="M50:N50"/>
    <mergeCell ref="O50:P50"/>
    <mergeCell ref="S50:T50"/>
    <mergeCell ref="BD18:BE18"/>
    <mergeCell ref="BO18:BP18"/>
    <mergeCell ref="BY18:BZ18"/>
    <mergeCell ref="CG18:CH18"/>
    <mergeCell ref="CO18:CP18"/>
    <mergeCell ref="CW18:CX18"/>
    <mergeCell ref="AN18:AO18"/>
    <mergeCell ref="AR18:AS18"/>
    <mergeCell ref="AT18:AU18"/>
    <mergeCell ref="AV18:AW18"/>
    <mergeCell ref="AZ18:BA18"/>
    <mergeCell ref="BB18:BC18"/>
    <mergeCell ref="W18:X18"/>
    <mergeCell ref="AB18:AC18"/>
    <mergeCell ref="AD18:AE18"/>
    <mergeCell ref="AF18:AG18"/>
    <mergeCell ref="AJ18:AK18"/>
    <mergeCell ref="AL18:AM18"/>
    <mergeCell ref="BB17:BC17"/>
    <mergeCell ref="BD17:BE17"/>
    <mergeCell ref="C18:D18"/>
    <mergeCell ref="E18:F18"/>
    <mergeCell ref="G18:H18"/>
    <mergeCell ref="K18:L18"/>
    <mergeCell ref="M18:N18"/>
    <mergeCell ref="O18:P18"/>
    <mergeCell ref="S18:T18"/>
    <mergeCell ref="U18:V18"/>
    <mergeCell ref="AL17:AM17"/>
    <mergeCell ref="AN17:AO17"/>
    <mergeCell ref="AR17:AS17"/>
    <mergeCell ref="AT17:AU17"/>
    <mergeCell ref="AV17:AW17"/>
    <mergeCell ref="AZ17:BA17"/>
    <mergeCell ref="U17:V17"/>
    <mergeCell ref="W17:X17"/>
    <mergeCell ref="CS16:CT16"/>
    <mergeCell ref="CU16:CV16"/>
    <mergeCell ref="CW16:CX16"/>
    <mergeCell ref="C17:D17"/>
    <mergeCell ref="E17:F17"/>
    <mergeCell ref="G17:H17"/>
    <mergeCell ref="K17:L17"/>
    <mergeCell ref="M17:N17"/>
    <mergeCell ref="O17:P17"/>
    <mergeCell ref="S17:T17"/>
    <mergeCell ref="CC16:CD16"/>
    <mergeCell ref="CE16:CF16"/>
    <mergeCell ref="CG16:CH16"/>
    <mergeCell ref="CK16:CL16"/>
    <mergeCell ref="CM16:CN16"/>
    <mergeCell ref="CO16:CP16"/>
    <mergeCell ref="AZ16:BA16"/>
    <mergeCell ref="BB16:BC16"/>
    <mergeCell ref="BD16:BE16"/>
    <mergeCell ref="BK16:BL16"/>
    <mergeCell ref="AT16:AU16"/>
    <mergeCell ref="AV16:AW16"/>
    <mergeCell ref="S16:T16"/>
    <mergeCell ref="U16:V16"/>
    <mergeCell ref="AB17:AC17"/>
    <mergeCell ref="AD17:AE17"/>
    <mergeCell ref="AF17:AG17"/>
    <mergeCell ref="AJ17:AK17"/>
    <mergeCell ref="CK15:CL15"/>
    <mergeCell ref="AJ15:AK15"/>
    <mergeCell ref="AL15:AM15"/>
    <mergeCell ref="AN15:AO15"/>
    <mergeCell ref="BM16:BN16"/>
    <mergeCell ref="BO16:BP16"/>
    <mergeCell ref="AJ16:AK16"/>
    <mergeCell ref="AL16:AM16"/>
    <mergeCell ref="AN16:AO16"/>
    <mergeCell ref="AR16:AS16"/>
    <mergeCell ref="CM15:CN15"/>
    <mergeCell ref="CO15:CP15"/>
    <mergeCell ref="AR15:AS15"/>
    <mergeCell ref="AT15:AU15"/>
    <mergeCell ref="AV15:AW15"/>
    <mergeCell ref="AZ15:BA15"/>
    <mergeCell ref="BB15:BC15"/>
    <mergeCell ref="BD15:BE15"/>
    <mergeCell ref="BK15:BL15"/>
    <mergeCell ref="BM15:BN15"/>
    <mergeCell ref="BO15:BP15"/>
    <mergeCell ref="CC15:CD15"/>
    <mergeCell ref="CE15:CF15"/>
    <mergeCell ref="CG15:CH15"/>
    <mergeCell ref="C16:D16"/>
    <mergeCell ref="E16:F16"/>
    <mergeCell ref="G16:H16"/>
    <mergeCell ref="K16:L16"/>
    <mergeCell ref="M16:N16"/>
    <mergeCell ref="O16:P16"/>
    <mergeCell ref="AB15:AC15"/>
    <mergeCell ref="AD15:AE15"/>
    <mergeCell ref="AF15:AG15"/>
    <mergeCell ref="W16:X16"/>
    <mergeCell ref="AB16:AC16"/>
    <mergeCell ref="AD16:AE16"/>
    <mergeCell ref="AF16:AG16"/>
    <mergeCell ref="BK14:BL14"/>
    <mergeCell ref="BM14:BN14"/>
    <mergeCell ref="BO14:BP14"/>
    <mergeCell ref="CC14:CD14"/>
    <mergeCell ref="CE14:CF14"/>
    <mergeCell ref="CW14:CX14"/>
    <mergeCell ref="C15:D15"/>
    <mergeCell ref="E15:F15"/>
    <mergeCell ref="G15:H15"/>
    <mergeCell ref="K15:L15"/>
    <mergeCell ref="M15:N15"/>
    <mergeCell ref="O15:P15"/>
    <mergeCell ref="S15:T15"/>
    <mergeCell ref="U15:V15"/>
    <mergeCell ref="W15:X15"/>
    <mergeCell ref="CG14:CH14"/>
    <mergeCell ref="CK14:CL14"/>
    <mergeCell ref="CM14:CN14"/>
    <mergeCell ref="CO14:CP14"/>
    <mergeCell ref="CS14:CT14"/>
    <mergeCell ref="CU14:CV14"/>
    <mergeCell ref="CS15:CT15"/>
    <mergeCell ref="CU15:CV15"/>
    <mergeCell ref="CW15:CX15"/>
    <mergeCell ref="CS3:CT3"/>
    <mergeCell ref="CU3:CV3"/>
    <mergeCell ref="CW3:CX3"/>
    <mergeCell ref="BK13:BL13"/>
    <mergeCell ref="BM13:BN13"/>
    <mergeCell ref="BO13:BP13"/>
    <mergeCell ref="CC13:CD13"/>
    <mergeCell ref="CE13:CF13"/>
    <mergeCell ref="CG13:CH13"/>
    <mergeCell ref="CK13:CL13"/>
    <mergeCell ref="CC3:CD3"/>
    <mergeCell ref="CE3:CF3"/>
    <mergeCell ref="CG3:CH3"/>
    <mergeCell ref="CK3:CL3"/>
    <mergeCell ref="CM3:CN3"/>
    <mergeCell ref="CO3:CP3"/>
    <mergeCell ref="CM13:CN13"/>
    <mergeCell ref="CO13:CP13"/>
    <mergeCell ref="CS13:CT13"/>
    <mergeCell ref="CU13:CV13"/>
    <mergeCell ref="CW13:CX13"/>
    <mergeCell ref="AZ3:BA3"/>
    <mergeCell ref="BB3:BC3"/>
    <mergeCell ref="BD3:BE3"/>
    <mergeCell ref="BK3:BL3"/>
    <mergeCell ref="BM3:BN3"/>
    <mergeCell ref="BO3:BP3"/>
    <mergeCell ref="AJ3:AK3"/>
    <mergeCell ref="AL3:AM3"/>
    <mergeCell ref="AN3:AO3"/>
    <mergeCell ref="AR3:AS3"/>
    <mergeCell ref="AT3:AU3"/>
    <mergeCell ref="AV3:AW3"/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</mergeCells>
  <conditionalFormatting sqref="C18 E18 G18">
    <cfRule type="cellIs" dxfId="166" priority="57" operator="lessThan">
      <formula>0</formula>
    </cfRule>
  </conditionalFormatting>
  <conditionalFormatting sqref="C71:D71">
    <cfRule type="cellIs" dxfId="165" priority="56" operator="lessThan">
      <formula>0</formula>
    </cfRule>
  </conditionalFormatting>
  <conditionalFormatting sqref="E71:F71">
    <cfRule type="cellIs" dxfId="164" priority="55" operator="lessThan">
      <formula>0</formula>
    </cfRule>
  </conditionalFormatting>
  <conditionalFormatting sqref="G71:H71">
    <cfRule type="cellIs" dxfId="163" priority="54" operator="lessThan">
      <formula>0</formula>
    </cfRule>
  </conditionalFormatting>
  <conditionalFormatting sqref="G71:H71">
    <cfRule type="cellIs" dxfId="162" priority="53" operator="lessThan">
      <formula>0</formula>
    </cfRule>
  </conditionalFormatting>
  <conditionalFormatting sqref="S18:T18">
    <cfRule type="cellIs" dxfId="161" priority="52" operator="lessThan">
      <formula>0</formula>
    </cfRule>
  </conditionalFormatting>
  <conditionalFormatting sqref="U18:V18">
    <cfRule type="cellIs" dxfId="160" priority="51" operator="lessThan">
      <formula>0</formula>
    </cfRule>
  </conditionalFormatting>
  <conditionalFormatting sqref="W18:X18">
    <cfRule type="cellIs" dxfId="159" priority="50" operator="lessThan">
      <formula>0</formula>
    </cfRule>
  </conditionalFormatting>
  <conditionalFormatting sqref="W18:X18">
    <cfRule type="cellIs" dxfId="158" priority="49" operator="lessThan">
      <formula>0</formula>
    </cfRule>
  </conditionalFormatting>
  <conditionalFormatting sqref="AF18:AG18">
    <cfRule type="cellIs" dxfId="157" priority="48" operator="lessThan">
      <formula>0</formula>
    </cfRule>
  </conditionalFormatting>
  <conditionalFormatting sqref="AF18:AG18">
    <cfRule type="cellIs" dxfId="156" priority="47" operator="lessThan">
      <formula>0</formula>
    </cfRule>
  </conditionalFormatting>
  <conditionalFormatting sqref="AD18:AE18">
    <cfRule type="cellIs" dxfId="155" priority="46" operator="lessThan">
      <formula>0</formula>
    </cfRule>
  </conditionalFormatting>
  <conditionalFormatting sqref="AB18:AC18">
    <cfRule type="cellIs" dxfId="154" priority="45" operator="lessThan">
      <formula>0</formula>
    </cfRule>
  </conditionalFormatting>
  <conditionalFormatting sqref="K18:L18">
    <cfRule type="cellIs" dxfId="153" priority="44" operator="lessThan">
      <formula>0</formula>
    </cfRule>
  </conditionalFormatting>
  <conditionalFormatting sqref="C18:D18">
    <cfRule type="cellIs" dxfId="152" priority="43" operator="lessThan">
      <formula>0</formula>
    </cfRule>
  </conditionalFormatting>
  <conditionalFormatting sqref="E18:F18">
    <cfRule type="cellIs" dxfId="151" priority="42" operator="lessThan">
      <formula>0</formula>
    </cfRule>
  </conditionalFormatting>
  <conditionalFormatting sqref="M18:N18">
    <cfRule type="cellIs" dxfId="150" priority="41" operator="lessThan">
      <formula>0</formula>
    </cfRule>
  </conditionalFormatting>
  <conditionalFormatting sqref="G18:H18">
    <cfRule type="cellIs" dxfId="149" priority="40" operator="lessThan">
      <formula>0</formula>
    </cfRule>
  </conditionalFormatting>
  <conditionalFormatting sqref="G18:H18">
    <cfRule type="cellIs" dxfId="148" priority="39" operator="lessThan">
      <formula>0</formula>
    </cfRule>
  </conditionalFormatting>
  <conditionalFormatting sqref="O18:P18">
    <cfRule type="cellIs" dxfId="147" priority="38" operator="lessThan">
      <formula>0</formula>
    </cfRule>
  </conditionalFormatting>
  <conditionalFormatting sqref="O18:P18">
    <cfRule type="cellIs" dxfId="146" priority="37" operator="lessThan">
      <formula>0</formula>
    </cfRule>
  </conditionalFormatting>
  <conditionalFormatting sqref="K88:L88">
    <cfRule type="cellIs" dxfId="145" priority="36" operator="lessThan">
      <formula>0</formula>
    </cfRule>
  </conditionalFormatting>
  <conditionalFormatting sqref="M88:N88">
    <cfRule type="cellIs" dxfId="144" priority="35" operator="lessThan">
      <formula>0</formula>
    </cfRule>
  </conditionalFormatting>
  <conditionalFormatting sqref="O88:P88">
    <cfRule type="cellIs" dxfId="143" priority="34" operator="lessThan">
      <formula>0</formula>
    </cfRule>
  </conditionalFormatting>
  <conditionalFormatting sqref="O88:P88">
    <cfRule type="cellIs" dxfId="142" priority="33" operator="lessThan">
      <formula>0</formula>
    </cfRule>
  </conditionalFormatting>
  <conditionalFormatting sqref="AN18:AO18">
    <cfRule type="cellIs" dxfId="141" priority="32" operator="lessThan">
      <formula>0</formula>
    </cfRule>
  </conditionalFormatting>
  <conditionalFormatting sqref="AN18:AO18">
    <cfRule type="cellIs" dxfId="140" priority="31" operator="lessThan">
      <formula>0</formula>
    </cfRule>
  </conditionalFormatting>
  <conditionalFormatting sqref="AL18:AM18">
    <cfRule type="cellIs" dxfId="139" priority="30" operator="lessThan">
      <formula>0</formula>
    </cfRule>
  </conditionalFormatting>
  <conditionalFormatting sqref="AJ18:AK18">
    <cfRule type="cellIs" dxfId="138" priority="29" operator="lessThan">
      <formula>0</formula>
    </cfRule>
  </conditionalFormatting>
  <conditionalFormatting sqref="AV18:AW18">
    <cfRule type="cellIs" dxfId="137" priority="28" operator="lessThan">
      <formula>0</formula>
    </cfRule>
  </conditionalFormatting>
  <conditionalFormatting sqref="AV18:AW18">
    <cfRule type="cellIs" dxfId="136" priority="27" operator="lessThan">
      <formula>0</formula>
    </cfRule>
  </conditionalFormatting>
  <conditionalFormatting sqref="AT18:AU18">
    <cfRule type="cellIs" dxfId="135" priority="26" operator="lessThan">
      <formula>0</formula>
    </cfRule>
  </conditionalFormatting>
  <conditionalFormatting sqref="AR18:AS18">
    <cfRule type="cellIs" dxfId="134" priority="25" operator="lessThan">
      <formula>0</formula>
    </cfRule>
  </conditionalFormatting>
  <conditionalFormatting sqref="BD18:BE18">
    <cfRule type="cellIs" dxfId="133" priority="24" operator="lessThan">
      <formula>0</formula>
    </cfRule>
  </conditionalFormatting>
  <conditionalFormatting sqref="BD18:BE18">
    <cfRule type="cellIs" dxfId="132" priority="23" operator="lessThan">
      <formula>0</formula>
    </cfRule>
  </conditionalFormatting>
  <conditionalFormatting sqref="BB18:BC18">
    <cfRule type="cellIs" dxfId="131" priority="22" operator="lessThan">
      <formula>0</formula>
    </cfRule>
  </conditionalFormatting>
  <conditionalFormatting sqref="AZ18:BA18">
    <cfRule type="cellIs" dxfId="130" priority="21" operator="lessThan">
      <formula>0</formula>
    </cfRule>
  </conditionalFormatting>
  <conditionalFormatting sqref="BO16:BP16">
    <cfRule type="cellIs" dxfId="129" priority="20" operator="lessThan">
      <formula>0</formula>
    </cfRule>
  </conditionalFormatting>
  <conditionalFormatting sqref="BO16:BP16">
    <cfRule type="cellIs" dxfId="128" priority="19" operator="lessThan">
      <formula>0</formula>
    </cfRule>
  </conditionalFormatting>
  <conditionalFormatting sqref="BM16:BN16">
    <cfRule type="cellIs" dxfId="127" priority="18" operator="lessThan">
      <formula>0</formula>
    </cfRule>
  </conditionalFormatting>
  <conditionalFormatting sqref="BK16:BL16">
    <cfRule type="cellIs" dxfId="126" priority="17" operator="lessThan">
      <formula>0</formula>
    </cfRule>
  </conditionalFormatting>
  <conditionalFormatting sqref="CG16:CH16">
    <cfRule type="cellIs" dxfId="125" priority="16" operator="lessThan">
      <formula>0</formula>
    </cfRule>
  </conditionalFormatting>
  <conditionalFormatting sqref="CG16:CH16">
    <cfRule type="cellIs" dxfId="124" priority="15" operator="lessThan">
      <formula>0</formula>
    </cfRule>
  </conditionalFormatting>
  <conditionalFormatting sqref="CE16:CF16">
    <cfRule type="cellIs" dxfId="123" priority="14" operator="lessThan">
      <formula>0</formula>
    </cfRule>
  </conditionalFormatting>
  <conditionalFormatting sqref="CC16:CD16">
    <cfRule type="cellIs" dxfId="122" priority="13" operator="lessThan">
      <formula>0</formula>
    </cfRule>
  </conditionalFormatting>
  <conditionalFormatting sqref="CO16:CP16">
    <cfRule type="cellIs" dxfId="121" priority="12" operator="lessThan">
      <formula>0</formula>
    </cfRule>
  </conditionalFormatting>
  <conditionalFormatting sqref="CO16:CP16">
    <cfRule type="cellIs" dxfId="120" priority="11" operator="lessThan">
      <formula>0</formula>
    </cfRule>
  </conditionalFormatting>
  <conditionalFormatting sqref="CM16:CN16">
    <cfRule type="cellIs" dxfId="119" priority="10" operator="lessThan">
      <formula>0</formula>
    </cfRule>
  </conditionalFormatting>
  <conditionalFormatting sqref="CK16:CL16">
    <cfRule type="cellIs" dxfId="118" priority="9" operator="lessThan">
      <formula>0</formula>
    </cfRule>
  </conditionalFormatting>
  <conditionalFormatting sqref="CW16:CX16">
    <cfRule type="cellIs" dxfId="117" priority="8" operator="lessThan">
      <formula>0</formula>
    </cfRule>
  </conditionalFormatting>
  <conditionalFormatting sqref="CW16:CX16">
    <cfRule type="cellIs" dxfId="116" priority="7" operator="lessThan">
      <formula>0</formula>
    </cfRule>
  </conditionalFormatting>
  <conditionalFormatting sqref="CU16:CV16">
    <cfRule type="cellIs" dxfId="115" priority="6" operator="lessThan">
      <formula>0</formula>
    </cfRule>
  </conditionalFormatting>
  <conditionalFormatting sqref="CS16:CT16">
    <cfRule type="cellIs" dxfId="114" priority="5" operator="lessThan">
      <formula>0</formula>
    </cfRule>
  </conditionalFormatting>
  <conditionalFormatting sqref="DE16:DF16">
    <cfRule type="cellIs" dxfId="113" priority="4" operator="lessThan">
      <formula>0</formula>
    </cfRule>
  </conditionalFormatting>
  <conditionalFormatting sqref="DE16:DF16">
    <cfRule type="cellIs" dxfId="112" priority="3" operator="lessThan">
      <formula>0</formula>
    </cfRule>
  </conditionalFormatting>
  <conditionalFormatting sqref="DC16:DD16">
    <cfRule type="cellIs" dxfId="111" priority="2" operator="lessThan">
      <formula>0</formula>
    </cfRule>
  </conditionalFormatting>
  <conditionalFormatting sqref="DA16:DB16">
    <cfRule type="cellIs" dxfId="11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CX79"/>
  <sheetViews>
    <sheetView showGridLines="0" defaultGridColor="0" topLeftCell="A10" colorId="22" zoomScaleNormal="100" workbookViewId="0">
      <selection activeCell="CM36" sqref="CM36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</cols>
  <sheetData>
    <row r="1" spans="2:102" ht="3" customHeight="1" x14ac:dyDescent="0.25"/>
    <row r="2" spans="2:102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</row>
    <row r="3" spans="2:102" ht="15.75" thickBot="1" x14ac:dyDescent="0.3">
      <c r="B3" s="18" t="s">
        <v>22</v>
      </c>
      <c r="C3" s="86" t="s">
        <v>0</v>
      </c>
      <c r="D3" s="86"/>
      <c r="E3" s="86" t="s">
        <v>49</v>
      </c>
      <c r="F3" s="86"/>
      <c r="G3" s="87" t="s">
        <v>61</v>
      </c>
      <c r="H3" s="88"/>
      <c r="J3" s="18" t="s">
        <v>22</v>
      </c>
      <c r="K3" s="86" t="s">
        <v>0</v>
      </c>
      <c r="L3" s="86"/>
      <c r="M3" s="86" t="s">
        <v>49</v>
      </c>
      <c r="N3" s="86"/>
      <c r="O3" s="90" t="s">
        <v>63</v>
      </c>
      <c r="P3" s="91"/>
      <c r="Q3" s="75"/>
      <c r="R3" s="18" t="s">
        <v>22</v>
      </c>
      <c r="S3" s="86" t="s">
        <v>0</v>
      </c>
      <c r="T3" s="86"/>
      <c r="U3" s="86" t="s">
        <v>49</v>
      </c>
      <c r="V3" s="86"/>
      <c r="W3" s="87" t="s">
        <v>61</v>
      </c>
      <c r="X3" s="88"/>
      <c r="Y3" s="75"/>
      <c r="AA3" s="18" t="s">
        <v>22</v>
      </c>
      <c r="AB3" s="86" t="s">
        <v>0</v>
      </c>
      <c r="AC3" s="86"/>
      <c r="AD3" s="89" t="s">
        <v>49</v>
      </c>
      <c r="AE3" s="89"/>
      <c r="AF3" s="87" t="s">
        <v>61</v>
      </c>
      <c r="AG3" s="88"/>
      <c r="AI3" s="18" t="s">
        <v>22</v>
      </c>
      <c r="AJ3" s="86" t="s">
        <v>0</v>
      </c>
      <c r="AK3" s="86"/>
      <c r="AL3" s="89" t="s">
        <v>49</v>
      </c>
      <c r="AM3" s="89"/>
      <c r="AN3" s="87" t="s">
        <v>61</v>
      </c>
      <c r="AO3" s="88"/>
      <c r="AQ3" s="18" t="s">
        <v>22</v>
      </c>
      <c r="AR3" s="86" t="s">
        <v>0</v>
      </c>
      <c r="AS3" s="86"/>
      <c r="AT3" s="89" t="s">
        <v>49</v>
      </c>
      <c r="AU3" s="89"/>
      <c r="AV3" s="87" t="s">
        <v>61</v>
      </c>
      <c r="AW3" s="88"/>
      <c r="AY3" s="18" t="s">
        <v>22</v>
      </c>
      <c r="AZ3" s="86" t="s">
        <v>0</v>
      </c>
      <c r="BA3" s="86"/>
      <c r="BB3" s="89" t="s">
        <v>49</v>
      </c>
      <c r="BC3" s="89"/>
      <c r="BD3" s="87" t="s">
        <v>61</v>
      </c>
      <c r="BE3" s="88"/>
      <c r="BJ3" s="18" t="s">
        <v>22</v>
      </c>
      <c r="BK3" s="86" t="s">
        <v>0</v>
      </c>
      <c r="BL3" s="86"/>
      <c r="BM3" s="89" t="s">
        <v>49</v>
      </c>
      <c r="BN3" s="89"/>
      <c r="BO3" s="87" t="s">
        <v>94</v>
      </c>
      <c r="BP3" s="88"/>
      <c r="CB3" s="18" t="s">
        <v>22</v>
      </c>
      <c r="CC3" s="86" t="s">
        <v>0</v>
      </c>
      <c r="CD3" s="86"/>
      <c r="CE3" s="89" t="s">
        <v>49</v>
      </c>
      <c r="CF3" s="89"/>
      <c r="CG3" s="87" t="s">
        <v>94</v>
      </c>
      <c r="CH3" s="88"/>
      <c r="CJ3" s="18" t="s">
        <v>22</v>
      </c>
      <c r="CK3" s="86" t="s">
        <v>0</v>
      </c>
      <c r="CL3" s="86"/>
      <c r="CM3" s="89" t="s">
        <v>49</v>
      </c>
      <c r="CN3" s="89"/>
      <c r="CO3" s="87" t="s">
        <v>94</v>
      </c>
      <c r="CP3" s="88"/>
      <c r="CR3" s="18" t="s">
        <v>22</v>
      </c>
      <c r="CS3" s="86" t="s">
        <v>0</v>
      </c>
      <c r="CT3" s="86"/>
      <c r="CU3" s="89" t="s">
        <v>49</v>
      </c>
      <c r="CV3" s="89"/>
      <c r="CW3" s="87" t="s">
        <v>94</v>
      </c>
      <c r="CX3" s="88"/>
    </row>
    <row r="4" spans="2:102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2.2727272727272728E-2</v>
      </c>
      <c r="CM4" s="57">
        <v>2</v>
      </c>
      <c r="CN4" s="58">
        <f>CM4/$BM$13</f>
        <v>9.5238095238095233E-2</v>
      </c>
      <c r="CO4" s="9">
        <v>0</v>
      </c>
      <c r="CP4" s="23">
        <f>CO4/$BO$13</f>
        <v>0</v>
      </c>
      <c r="CR4" s="8" t="s">
        <v>1</v>
      </c>
      <c r="CS4" s="9">
        <v>9</v>
      </c>
      <c r="CT4" s="10">
        <f>CS4/CS13</f>
        <v>9.1836734693877556E-2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</row>
    <row r="5" spans="2:102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6</v>
      </c>
      <c r="CH5" s="25">
        <f>CG5/$BO$13</f>
        <v>8.1081081081081086E-2</v>
      </c>
      <c r="CJ5" s="3" t="s">
        <v>2</v>
      </c>
      <c r="CK5" s="7">
        <v>34</v>
      </c>
      <c r="CL5" s="11">
        <f>CK5/CK13</f>
        <v>0.38636363636363635</v>
      </c>
      <c r="CM5" s="59">
        <v>6</v>
      </c>
      <c r="CN5" s="60">
        <f>CM5/$BM$13</f>
        <v>0.2857142857142857</v>
      </c>
      <c r="CO5" s="7">
        <v>0</v>
      </c>
      <c r="CP5" s="25">
        <f>CO5/$BO$13</f>
        <v>0</v>
      </c>
      <c r="CR5" s="3" t="s">
        <v>2</v>
      </c>
      <c r="CS5" s="7">
        <v>39</v>
      </c>
      <c r="CT5" s="11">
        <f>CS5/CS13</f>
        <v>0.39795918367346939</v>
      </c>
      <c r="CU5" s="59">
        <v>4</v>
      </c>
      <c r="CV5" s="60">
        <f>CU5/$BM$13</f>
        <v>0.19047619047619047</v>
      </c>
      <c r="CW5" s="7">
        <v>0</v>
      </c>
      <c r="CX5" s="25">
        <f>CW5/$BO$13</f>
        <v>0</v>
      </c>
    </row>
    <row r="6" spans="2:102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5.6818181818181816E-2</v>
      </c>
      <c r="CM6" s="59">
        <v>1</v>
      </c>
      <c r="CN6" s="60">
        <f>CM6/$BM$13</f>
        <v>4.7619047619047616E-2</v>
      </c>
      <c r="CO6" s="7">
        <v>0</v>
      </c>
      <c r="CP6" s="25">
        <f>CO6/$BO$13</f>
        <v>0</v>
      </c>
      <c r="CR6" s="3" t="s">
        <v>21</v>
      </c>
      <c r="CS6" s="7">
        <v>1</v>
      </c>
      <c r="CT6" s="11">
        <f>CS6/CS13</f>
        <v>1.020408163265306E-2</v>
      </c>
      <c r="CU6" s="59">
        <v>0</v>
      </c>
      <c r="CV6" s="60">
        <f>CU6/$BM$13</f>
        <v>0</v>
      </c>
      <c r="CW6" s="7">
        <v>0</v>
      </c>
      <c r="CX6" s="25">
        <f>CW6/$BO$13</f>
        <v>0</v>
      </c>
    </row>
    <row r="7" spans="2:102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2.2727272727272728E-2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1</v>
      </c>
      <c r="CT7" s="11">
        <f>CS7/CS13</f>
        <v>1.020408163265306E-2</v>
      </c>
      <c r="CU7" s="59">
        <v>0</v>
      </c>
      <c r="CV7" s="60">
        <f t="shared" ref="CV7:CV11" si="23">CU7/$BM$13</f>
        <v>0</v>
      </c>
      <c r="CW7" s="7">
        <v>0</v>
      </c>
      <c r="CX7" s="25">
        <f t="shared" ref="CX7:CX11" si="24">CW7/$BO$13</f>
        <v>0</v>
      </c>
    </row>
    <row r="8" spans="2:102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</row>
    <row r="9" spans="2:102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2</v>
      </c>
      <c r="CH9" s="25">
        <f t="shared" si="20"/>
        <v>2.7027027027027029E-2</v>
      </c>
      <c r="CJ9" s="3" t="s">
        <v>6</v>
      </c>
      <c r="CK9" s="7">
        <v>3</v>
      </c>
      <c r="CL9" s="11">
        <f>CK9/CK13</f>
        <v>3.4090909090909088E-2</v>
      </c>
      <c r="CM9" s="59">
        <v>1</v>
      </c>
      <c r="CN9" s="60">
        <f t="shared" si="21"/>
        <v>4.7619047619047616E-2</v>
      </c>
      <c r="CO9" s="7">
        <v>1</v>
      </c>
      <c r="CP9" s="25">
        <f t="shared" si="22"/>
        <v>1.3513513513513514E-2</v>
      </c>
      <c r="CR9" s="3" t="s">
        <v>6</v>
      </c>
      <c r="CS9" s="7">
        <v>0</v>
      </c>
      <c r="CT9" s="11">
        <f>CS9/CS13</f>
        <v>0</v>
      </c>
      <c r="CU9" s="59">
        <v>0</v>
      </c>
      <c r="CV9" s="60">
        <f t="shared" si="23"/>
        <v>0</v>
      </c>
      <c r="CW9" s="7">
        <v>0</v>
      </c>
      <c r="CX9" s="25">
        <f t="shared" si="24"/>
        <v>0</v>
      </c>
    </row>
    <row r="10" spans="2:102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7</v>
      </c>
      <c r="CT10" s="11">
        <f>CS10/CS13</f>
        <v>7.1428571428571425E-2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</row>
    <row r="11" spans="2:102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40</v>
      </c>
      <c r="CL11" s="11">
        <f>CK11/CK13</f>
        <v>0.45454545454545453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38</v>
      </c>
      <c r="CT11" s="11">
        <f>CS11/CS13</f>
        <v>0.38775510204081631</v>
      </c>
      <c r="CU11" s="59">
        <v>0</v>
      </c>
      <c r="CV11" s="60">
        <f t="shared" si="23"/>
        <v>0</v>
      </c>
      <c r="CW11" s="7">
        <v>0</v>
      </c>
      <c r="CX11" s="25">
        <f t="shared" si="24"/>
        <v>0</v>
      </c>
    </row>
    <row r="12" spans="2:102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2.2727272727272728E-2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3</v>
      </c>
      <c r="CT12" s="12">
        <f>CS12/CS13</f>
        <v>3.0612244897959183E-2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</row>
    <row r="13" spans="2:102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2">
        <f>SUM(BK4:BK12)</f>
        <v>224</v>
      </c>
      <c r="BL13" s="93"/>
      <c r="BM13" s="92">
        <f>SUM(BM4:BM12)</f>
        <v>21</v>
      </c>
      <c r="BN13" s="93"/>
      <c r="BO13" s="92">
        <f>SUM(BO4:BO12)</f>
        <v>74</v>
      </c>
      <c r="BP13" s="94"/>
      <c r="CB13" s="5" t="s">
        <v>25</v>
      </c>
      <c r="CC13" s="92">
        <f>SUM(CC4:CC12)</f>
        <v>194</v>
      </c>
      <c r="CD13" s="93"/>
      <c r="CE13" s="92">
        <f>SUM(CE4:CE12)</f>
        <v>8</v>
      </c>
      <c r="CF13" s="93"/>
      <c r="CG13" s="92">
        <f>SUM(CG4:CG12)</f>
        <v>23</v>
      </c>
      <c r="CH13" s="94"/>
      <c r="CJ13" s="5" t="s">
        <v>25</v>
      </c>
      <c r="CK13" s="92">
        <f>SUM(CK4:CK12)</f>
        <v>88</v>
      </c>
      <c r="CL13" s="93"/>
      <c r="CM13" s="92">
        <f>SUM(CM4:CM12)</f>
        <v>11</v>
      </c>
      <c r="CN13" s="93"/>
      <c r="CO13" s="92">
        <f>SUM(CO4:CO12)</f>
        <v>4</v>
      </c>
      <c r="CP13" s="94"/>
      <c r="CR13" s="5" t="s">
        <v>25</v>
      </c>
      <c r="CS13" s="92">
        <f>SUM(CS4:CS12)</f>
        <v>98</v>
      </c>
      <c r="CT13" s="93"/>
      <c r="CU13" s="92">
        <f>SUM(CU4:CU12)</f>
        <v>4</v>
      </c>
      <c r="CV13" s="93"/>
      <c r="CW13" s="92">
        <f>SUM(CW4:CW12)</f>
        <v>0</v>
      </c>
      <c r="CX13" s="94"/>
    </row>
    <row r="14" spans="2:102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95">
        <f>BK13/($BK$13+$BM$13+$BO$13)</f>
        <v>0.70219435736677116</v>
      </c>
      <c r="BL14" s="96"/>
      <c r="BM14" s="95">
        <f>BM13/(BK13+$BM$13+$BO$13)</f>
        <v>6.5830721003134793E-2</v>
      </c>
      <c r="BN14" s="96"/>
      <c r="BO14" s="95">
        <f>BO13/($BK$13+$BM$13+$BO$13)</f>
        <v>0.23197492163009403</v>
      </c>
      <c r="BP14" s="96"/>
      <c r="CB14" s="19" t="s">
        <v>26</v>
      </c>
      <c r="CC14" s="95">
        <f>CC13/($CC$13+$CE$13+$CG$13)</f>
        <v>0.86222222222222222</v>
      </c>
      <c r="CD14" s="96"/>
      <c r="CE14" s="95">
        <f>CE13/(CC13+$CE$13+$CG$13)</f>
        <v>3.5555555555555556E-2</v>
      </c>
      <c r="CF14" s="96"/>
      <c r="CG14" s="95">
        <f>CG13/($CC$13+$CE$13+$CG$13)</f>
        <v>0.10222222222222223</v>
      </c>
      <c r="CH14" s="96"/>
      <c r="CJ14" s="19" t="s">
        <v>26</v>
      </c>
      <c r="CK14" s="95">
        <f>CK13/($CK$13+$CM$13+$CO$13)</f>
        <v>0.85436893203883491</v>
      </c>
      <c r="CL14" s="96"/>
      <c r="CM14" s="95">
        <f>CM13/(CK13+$CM$13+$CO$13)</f>
        <v>0.10679611650485436</v>
      </c>
      <c r="CN14" s="96"/>
      <c r="CO14" s="95">
        <f>CO13/($CK$13+$CM$13+$CO$13)</f>
        <v>3.8834951456310676E-2</v>
      </c>
      <c r="CP14" s="96"/>
      <c r="CR14" s="19" t="s">
        <v>26</v>
      </c>
      <c r="CS14" s="95">
        <f>CS13/($CS$13+$CU$13+$CW$13)</f>
        <v>0.96078431372549022</v>
      </c>
      <c r="CT14" s="96"/>
      <c r="CU14" s="95">
        <f>CU13/($CS$13+$CU$13+$CW$13)</f>
        <v>3.9215686274509803E-2</v>
      </c>
      <c r="CV14" s="96"/>
      <c r="CW14" s="95">
        <f>CW13/($CS$13+$CU$13+$CW$13)</f>
        <v>0</v>
      </c>
      <c r="CX14" s="96"/>
    </row>
    <row r="15" spans="2:102" ht="15.75" thickBot="1" x14ac:dyDescent="0.3">
      <c r="B15" s="5" t="s">
        <v>25</v>
      </c>
      <c r="C15" s="92">
        <f>SUM(C4:C14)</f>
        <v>1079</v>
      </c>
      <c r="D15" s="93"/>
      <c r="E15" s="92">
        <f>SUM(E4:E14)</f>
        <v>32</v>
      </c>
      <c r="F15" s="93"/>
      <c r="G15" s="92">
        <f>SUM(G4:G14)</f>
        <v>24</v>
      </c>
      <c r="H15" s="94"/>
      <c r="J15" s="5" t="s">
        <v>25</v>
      </c>
      <c r="K15" s="92">
        <f>SUM(K4:K14)</f>
        <v>58</v>
      </c>
      <c r="L15" s="93"/>
      <c r="M15" s="92">
        <f>SUM(M4:M14)</f>
        <v>8</v>
      </c>
      <c r="N15" s="93"/>
      <c r="O15" s="92">
        <f>SUM(O4:O14)</f>
        <v>35</v>
      </c>
      <c r="P15" s="94"/>
      <c r="Q15" s="29"/>
      <c r="R15" s="5" t="s">
        <v>25</v>
      </c>
      <c r="S15" s="92">
        <f>SUM(S4:S14)</f>
        <v>1137</v>
      </c>
      <c r="T15" s="97"/>
      <c r="U15" s="92">
        <f>SUM(U4:U14)</f>
        <v>40</v>
      </c>
      <c r="V15" s="97"/>
      <c r="W15" s="98">
        <f>SUM(W4:W14)</f>
        <v>59</v>
      </c>
      <c r="X15" s="99"/>
      <c r="Y15" s="29"/>
      <c r="AA15" s="5" t="s">
        <v>25</v>
      </c>
      <c r="AB15" s="92">
        <f>SUM(AB4:AB14)</f>
        <v>329</v>
      </c>
      <c r="AC15" s="93"/>
      <c r="AD15" s="92">
        <f>SUM(AD4:AD14)</f>
        <v>29</v>
      </c>
      <c r="AE15" s="93"/>
      <c r="AF15" s="92">
        <f>SUM(AF4:AF14)</f>
        <v>27</v>
      </c>
      <c r="AG15" s="94"/>
      <c r="AI15" s="5" t="s">
        <v>25</v>
      </c>
      <c r="AJ15" s="92">
        <f>SUM(AJ4:AJ14)</f>
        <v>203</v>
      </c>
      <c r="AK15" s="93"/>
      <c r="AL15" s="92">
        <f>SUM(AL4:AL14)</f>
        <v>36</v>
      </c>
      <c r="AM15" s="93"/>
      <c r="AN15" s="92">
        <f>SUM(AN4:AN14)</f>
        <v>74</v>
      </c>
      <c r="AO15" s="94"/>
      <c r="AQ15" s="5" t="s">
        <v>25</v>
      </c>
      <c r="AR15" s="92">
        <f>SUM(AR4:AR14)</f>
        <v>152</v>
      </c>
      <c r="AS15" s="93"/>
      <c r="AT15" s="92">
        <f>SUM(AT4:AT14)</f>
        <v>58</v>
      </c>
      <c r="AU15" s="93"/>
      <c r="AV15" s="92">
        <f>SUM(AV4:AV14)</f>
        <v>79</v>
      </c>
      <c r="AW15" s="94"/>
      <c r="AY15" s="5" t="s">
        <v>25</v>
      </c>
      <c r="AZ15" s="92">
        <f>SUM(AZ4:AZ14)</f>
        <v>245</v>
      </c>
      <c r="BA15" s="93"/>
      <c r="BB15" s="92">
        <f>SUM(BB4:BB14)</f>
        <v>51</v>
      </c>
      <c r="BC15" s="93"/>
      <c r="BD15" s="92">
        <f>SUM(BD4:BD14)</f>
        <v>90</v>
      </c>
      <c r="BE15" s="94"/>
      <c r="BJ15" s="20" t="s">
        <v>23</v>
      </c>
      <c r="BK15" s="100">
        <v>0.8</v>
      </c>
      <c r="BL15" s="96"/>
      <c r="BM15" s="100">
        <v>0.05</v>
      </c>
      <c r="BN15" s="96"/>
      <c r="BO15" s="100">
        <v>0.15</v>
      </c>
      <c r="BP15" s="96"/>
      <c r="CB15" s="20" t="s">
        <v>23</v>
      </c>
      <c r="CC15" s="100">
        <v>0.8</v>
      </c>
      <c r="CD15" s="96"/>
      <c r="CE15" s="100">
        <v>0.05</v>
      </c>
      <c r="CF15" s="96"/>
      <c r="CG15" s="100">
        <v>0.15</v>
      </c>
      <c r="CH15" s="96"/>
      <c r="CJ15" s="20" t="s">
        <v>23</v>
      </c>
      <c r="CK15" s="100">
        <v>0.8</v>
      </c>
      <c r="CL15" s="96"/>
      <c r="CM15" s="100">
        <v>0.05</v>
      </c>
      <c r="CN15" s="96"/>
      <c r="CO15" s="100">
        <v>0.15</v>
      </c>
      <c r="CP15" s="96"/>
      <c r="CR15" s="20" t="s">
        <v>23</v>
      </c>
      <c r="CS15" s="100">
        <v>0.8</v>
      </c>
      <c r="CT15" s="96"/>
      <c r="CU15" s="100">
        <v>0.05</v>
      </c>
      <c r="CV15" s="96"/>
      <c r="CW15" s="100">
        <v>0.15</v>
      </c>
      <c r="CX15" s="96"/>
    </row>
    <row r="16" spans="2:102" ht="15.75" thickBot="1" x14ac:dyDescent="0.3">
      <c r="B16" s="19" t="s">
        <v>26</v>
      </c>
      <c r="C16" s="95">
        <f>C15/($C$15+$E$15+$G$15)</f>
        <v>0.95066079295154182</v>
      </c>
      <c r="D16" s="101"/>
      <c r="E16" s="95">
        <f>E15/($C$15+$E$15+$G$15)</f>
        <v>2.8193832599118944E-2</v>
      </c>
      <c r="F16" s="101"/>
      <c r="G16" s="95">
        <f>G15/($C$15+$E$15+$G$15)</f>
        <v>2.1145374449339206E-2</v>
      </c>
      <c r="H16" s="96"/>
      <c r="I16" s="52"/>
      <c r="J16" s="19" t="s">
        <v>26</v>
      </c>
      <c r="K16" s="95">
        <f>K15/($K$15+$M$15+$O$15)</f>
        <v>0.57425742574257421</v>
      </c>
      <c r="L16" s="101"/>
      <c r="M16" s="95">
        <f>M15/($K$15+$M$15+$O$15)</f>
        <v>7.9207920792079209E-2</v>
      </c>
      <c r="N16" s="96"/>
      <c r="O16" s="95">
        <f>O15/($K$15+$M$15+$O$15)</f>
        <v>0.34653465346534651</v>
      </c>
      <c r="P16" s="96"/>
      <c r="Q16" s="53"/>
      <c r="R16" s="19" t="s">
        <v>26</v>
      </c>
      <c r="S16" s="95">
        <f>S15/($S$15+$U$15+$W$15)</f>
        <v>0.91990291262135926</v>
      </c>
      <c r="T16" s="96"/>
      <c r="U16" s="95">
        <f>U15/($S$15+$U$15+$W$15)</f>
        <v>3.2362459546925564E-2</v>
      </c>
      <c r="V16" s="96"/>
      <c r="W16" s="95">
        <f>W15/($S$15+$U$15+$W$15)</f>
        <v>4.7734627831715212E-2</v>
      </c>
      <c r="X16" s="96"/>
      <c r="Y16" s="53"/>
      <c r="Z16" s="52"/>
      <c r="AA16" s="19" t="s">
        <v>26</v>
      </c>
      <c r="AB16" s="95">
        <f>AB15/($AB$15+$AD$15+$AF$15)</f>
        <v>0.8545454545454545</v>
      </c>
      <c r="AC16" s="96"/>
      <c r="AD16" s="95">
        <f>AD15/($AB$15+$AD$15+$AF$15)</f>
        <v>7.5324675324675322E-2</v>
      </c>
      <c r="AE16" s="96"/>
      <c r="AF16" s="95">
        <f>AF15/($AB$15+$AD$15+$AF$15)</f>
        <v>7.0129870129870125E-2</v>
      </c>
      <c r="AG16" s="96"/>
      <c r="AI16" s="19" t="s">
        <v>26</v>
      </c>
      <c r="AJ16" s="95">
        <f>AJ15/($AJ$15+$AL$15+$AN$15)</f>
        <v>0.6485623003194888</v>
      </c>
      <c r="AK16" s="96"/>
      <c r="AL16" s="95">
        <f>AL15/($AJ$15+$AL$15+$AN$15)</f>
        <v>0.11501597444089456</v>
      </c>
      <c r="AM16" s="96"/>
      <c r="AN16" s="95">
        <f>AN15/($AJ$15+$AL$15+$AN$15)</f>
        <v>0.2364217252396166</v>
      </c>
      <c r="AO16" s="96"/>
      <c r="AQ16" s="19" t="s">
        <v>26</v>
      </c>
      <c r="AR16" s="95">
        <f>AR15/($AR$15+$AT$15+$AV$15)</f>
        <v>0.52595155709342556</v>
      </c>
      <c r="AS16" s="96"/>
      <c r="AT16" s="95">
        <f t="shared" ref="AT16" si="25">AT15/($AR$15+$AT$15+$AV$15)</f>
        <v>0.20069204152249134</v>
      </c>
      <c r="AU16" s="96"/>
      <c r="AV16" s="95">
        <f t="shared" ref="AV16" si="26">AV15/($AR$15+$AT$15+$AV$15)</f>
        <v>0.27335640138408307</v>
      </c>
      <c r="AW16" s="96"/>
      <c r="AY16" s="19" t="s">
        <v>26</v>
      </c>
      <c r="AZ16" s="95">
        <f>AZ15/($AZ$15+$BB$15+$BD$15)</f>
        <v>0.63471502590673579</v>
      </c>
      <c r="BA16" s="96"/>
      <c r="BB16" s="95">
        <f>BB15/($AZ$15+$BB$15+$BD$15)</f>
        <v>0.13212435233160622</v>
      </c>
      <c r="BC16" s="96"/>
      <c r="BD16" s="95">
        <f>BD15/($AZ$15+$BB$15+$BD$15)</f>
        <v>0.23316062176165803</v>
      </c>
      <c r="BE16" s="96"/>
      <c r="BJ16" s="21" t="s">
        <v>24</v>
      </c>
      <c r="BK16" s="102">
        <f>BK14-BK15</f>
        <v>-9.7805642633228884E-2</v>
      </c>
      <c r="BL16" s="103"/>
      <c r="BM16" s="102">
        <f>BM15-BM14</f>
        <v>-1.583072100313479E-2</v>
      </c>
      <c r="BN16" s="103"/>
      <c r="BO16" s="102">
        <f>BO15-BO14</f>
        <v>-8.1974921630094039E-2</v>
      </c>
      <c r="BP16" s="103"/>
      <c r="CB16" s="21" t="s">
        <v>24</v>
      </c>
      <c r="CC16" s="102">
        <f>CC14-CC15</f>
        <v>6.2222222222222179E-2</v>
      </c>
      <c r="CD16" s="103"/>
      <c r="CE16" s="102">
        <f>CE15-CE14</f>
        <v>1.4444444444444447E-2</v>
      </c>
      <c r="CF16" s="103"/>
      <c r="CG16" s="102">
        <f>CG15-CG14</f>
        <v>4.7777777777777766E-2</v>
      </c>
      <c r="CH16" s="103"/>
      <c r="CJ16" s="21" t="s">
        <v>24</v>
      </c>
      <c r="CK16" s="102">
        <f>CK14-CK15</f>
        <v>5.4368932038834861E-2</v>
      </c>
      <c r="CL16" s="103"/>
      <c r="CM16" s="102">
        <f>CM15-CM14</f>
        <v>-5.679611650485436E-2</v>
      </c>
      <c r="CN16" s="103"/>
      <c r="CO16" s="102">
        <f>CO15-CO14</f>
        <v>0.11116504854368932</v>
      </c>
      <c r="CP16" s="103"/>
      <c r="CR16" s="21" t="s">
        <v>24</v>
      </c>
      <c r="CS16" s="102">
        <f>CS14-CS15</f>
        <v>0.16078431372549018</v>
      </c>
      <c r="CT16" s="103"/>
      <c r="CU16" s="102">
        <f>CU15-CU14</f>
        <v>1.0784313725490199E-2</v>
      </c>
      <c r="CV16" s="103"/>
      <c r="CW16" s="102">
        <f>CW15-CW14</f>
        <v>0.15</v>
      </c>
      <c r="CX16" s="103"/>
    </row>
    <row r="17" spans="2:102" ht="15.75" thickBot="1" x14ac:dyDescent="0.3">
      <c r="B17" s="20" t="s">
        <v>23</v>
      </c>
      <c r="C17" s="100">
        <v>0.85</v>
      </c>
      <c r="D17" s="104"/>
      <c r="E17" s="100">
        <v>0.1</v>
      </c>
      <c r="F17" s="104"/>
      <c r="G17" s="100">
        <v>0.05</v>
      </c>
      <c r="H17" s="96"/>
      <c r="I17" s="52"/>
      <c r="J17" s="20" t="s">
        <v>23</v>
      </c>
      <c r="K17" s="100">
        <v>0.85</v>
      </c>
      <c r="L17" s="104"/>
      <c r="M17" s="100">
        <v>0.1</v>
      </c>
      <c r="N17" s="96"/>
      <c r="O17" s="100">
        <v>0.05</v>
      </c>
      <c r="P17" s="96"/>
      <c r="Q17" s="53"/>
      <c r="R17" s="20" t="s">
        <v>23</v>
      </c>
      <c r="S17" s="100">
        <v>0.85</v>
      </c>
      <c r="T17" s="96"/>
      <c r="U17" s="100">
        <v>0.1</v>
      </c>
      <c r="V17" s="96"/>
      <c r="W17" s="100">
        <v>0.05</v>
      </c>
      <c r="X17" s="96"/>
      <c r="Y17" s="53"/>
      <c r="Z17" s="52"/>
      <c r="AA17" s="20" t="s">
        <v>23</v>
      </c>
      <c r="AB17" s="100">
        <v>0.85</v>
      </c>
      <c r="AC17" s="96"/>
      <c r="AD17" s="100">
        <v>0.1</v>
      </c>
      <c r="AE17" s="96"/>
      <c r="AF17" s="100">
        <v>0.05</v>
      </c>
      <c r="AG17" s="96"/>
      <c r="AI17" s="20" t="s">
        <v>23</v>
      </c>
      <c r="AJ17" s="100">
        <v>0.85</v>
      </c>
      <c r="AK17" s="96"/>
      <c r="AL17" s="100">
        <v>0.1</v>
      </c>
      <c r="AM17" s="96"/>
      <c r="AN17" s="100">
        <v>0.05</v>
      </c>
      <c r="AO17" s="96"/>
      <c r="AQ17" s="20" t="s">
        <v>23</v>
      </c>
      <c r="AR17" s="100">
        <v>0.85</v>
      </c>
      <c r="AS17" s="96"/>
      <c r="AT17" s="100">
        <v>0.1</v>
      </c>
      <c r="AU17" s="96"/>
      <c r="AV17" s="100">
        <v>0.05</v>
      </c>
      <c r="AW17" s="96"/>
      <c r="AY17" s="20" t="s">
        <v>23</v>
      </c>
      <c r="AZ17" s="100">
        <v>0.8</v>
      </c>
      <c r="BA17" s="96"/>
      <c r="BB17" s="100">
        <v>0.05</v>
      </c>
      <c r="BC17" s="96"/>
      <c r="BD17" s="100">
        <v>0.15</v>
      </c>
      <c r="BE17" s="96"/>
    </row>
    <row r="18" spans="2:102" ht="15.75" thickBot="1" x14ac:dyDescent="0.3">
      <c r="B18" s="21" t="s">
        <v>24</v>
      </c>
      <c r="C18" s="102">
        <f>C16-C17</f>
        <v>0.10066079295154184</v>
      </c>
      <c r="D18" s="103"/>
      <c r="E18" s="102">
        <f>E17-E16</f>
        <v>7.1806167400881055E-2</v>
      </c>
      <c r="F18" s="103"/>
      <c r="G18" s="102">
        <f>G17-G16</f>
        <v>2.8854625550660797E-2</v>
      </c>
      <c r="H18" s="103"/>
      <c r="I18" s="52"/>
      <c r="J18" s="21" t="s">
        <v>24</v>
      </c>
      <c r="K18" s="102">
        <f>K16-K17</f>
        <v>-0.27574257425742577</v>
      </c>
      <c r="L18" s="103"/>
      <c r="M18" s="102">
        <f>M17-M16</f>
        <v>2.0792079207920797E-2</v>
      </c>
      <c r="N18" s="103"/>
      <c r="O18" s="102">
        <f>O17-O16</f>
        <v>-0.29653465346534652</v>
      </c>
      <c r="P18" s="103"/>
      <c r="Q18" s="53"/>
      <c r="R18" s="21" t="s">
        <v>24</v>
      </c>
      <c r="S18" s="102">
        <f>S16-S17</f>
        <v>6.9902912621359281E-2</v>
      </c>
      <c r="T18" s="103"/>
      <c r="U18" s="102">
        <f>U17-U16</f>
        <v>6.7637540453074435E-2</v>
      </c>
      <c r="V18" s="103"/>
      <c r="W18" s="102">
        <f>W17-W16</f>
        <v>2.2653721682847905E-3</v>
      </c>
      <c r="X18" s="103"/>
      <c r="Y18" s="53"/>
      <c r="Z18" s="52"/>
      <c r="AA18" s="21" t="s">
        <v>24</v>
      </c>
      <c r="AB18" s="102">
        <f>AB16-AB17</f>
        <v>4.5454545454545192E-3</v>
      </c>
      <c r="AC18" s="103"/>
      <c r="AD18" s="102">
        <f>AD17-AD16</f>
        <v>2.4675324675324684E-2</v>
      </c>
      <c r="AE18" s="103"/>
      <c r="AF18" s="102">
        <f>AF17-AF16</f>
        <v>-2.0129870129870123E-2</v>
      </c>
      <c r="AG18" s="103"/>
      <c r="AI18" s="21" t="s">
        <v>24</v>
      </c>
      <c r="AJ18" s="102">
        <f>AJ16-AJ17</f>
        <v>-0.20143769968051117</v>
      </c>
      <c r="AK18" s="103"/>
      <c r="AL18" s="102">
        <f>AL17-AL16</f>
        <v>-1.5015974440894558E-2</v>
      </c>
      <c r="AM18" s="103"/>
      <c r="AN18" s="102">
        <f>AN17-AN16</f>
        <v>-0.18642172523961659</v>
      </c>
      <c r="AO18" s="103"/>
      <c r="AQ18" s="21" t="s">
        <v>24</v>
      </c>
      <c r="AR18" s="102">
        <f>AR16-AR17</f>
        <v>-0.32404844290657442</v>
      </c>
      <c r="AS18" s="103"/>
      <c r="AT18" s="102">
        <f>AT17-AT16</f>
        <v>-0.10069204152249134</v>
      </c>
      <c r="AU18" s="103"/>
      <c r="AV18" s="102">
        <f>AV17-AV16</f>
        <v>-0.22335640138408308</v>
      </c>
      <c r="AW18" s="103"/>
      <c r="AY18" s="21" t="s">
        <v>24</v>
      </c>
      <c r="AZ18" s="102">
        <f>AZ16-AZ17</f>
        <v>-0.16528497409326426</v>
      </c>
      <c r="BA18" s="103"/>
      <c r="BB18" s="102">
        <f>BB17-BB16</f>
        <v>-8.2124352331606212E-2</v>
      </c>
      <c r="BC18" s="103"/>
      <c r="BD18" s="102">
        <f>BD17-BD16</f>
        <v>-8.3160621761658032E-2</v>
      </c>
      <c r="BE18" s="103"/>
      <c r="BK18" t="s">
        <v>0</v>
      </c>
      <c r="BM18" t="s">
        <v>49</v>
      </c>
      <c r="BO18" s="105" t="s">
        <v>61</v>
      </c>
      <c r="BP18" s="106"/>
      <c r="BU18" t="s">
        <v>0</v>
      </c>
      <c r="BW18" t="s">
        <v>49</v>
      </c>
      <c r="BY18" s="105" t="s">
        <v>61</v>
      </c>
      <c r="BZ18" s="106"/>
      <c r="CC18" t="s">
        <v>0</v>
      </c>
      <c r="CE18" t="s">
        <v>49</v>
      </c>
      <c r="CG18" s="105" t="s">
        <v>61</v>
      </c>
      <c r="CH18" s="106"/>
      <c r="CK18" t="s">
        <v>0</v>
      </c>
      <c r="CM18" t="s">
        <v>49</v>
      </c>
      <c r="CO18" s="105" t="s">
        <v>61</v>
      </c>
      <c r="CP18" s="106"/>
      <c r="CS18" t="s">
        <v>0</v>
      </c>
      <c r="CU18" t="s">
        <v>49</v>
      </c>
      <c r="CW18" s="105" t="s">
        <v>61</v>
      </c>
      <c r="CX18" s="106"/>
    </row>
    <row r="19" spans="2:102" ht="15" x14ac:dyDescent="0.25">
      <c r="AZ19" t="s">
        <v>0</v>
      </c>
      <c r="BB19" t="s">
        <v>49</v>
      </c>
      <c r="BD19" s="105" t="s">
        <v>61</v>
      </c>
      <c r="BE19" s="106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0.86222222222222222</v>
      </c>
      <c r="CE19" s="22">
        <f>CE14</f>
        <v>3.5555555555555556E-2</v>
      </c>
      <c r="CG19" s="22">
        <f>CG14</f>
        <v>0.10222222222222223</v>
      </c>
      <c r="CJ19" s="76" t="str">
        <f>CJ2</f>
        <v>7.4.x</v>
      </c>
      <c r="CK19" s="22">
        <f>CK14</f>
        <v>0.85436893203883491</v>
      </c>
      <c r="CM19" s="22">
        <f>CM14</f>
        <v>0.10679611650485436</v>
      </c>
      <c r="CO19" s="22">
        <f>CO14</f>
        <v>3.8834951456310676E-2</v>
      </c>
      <c r="CR19" s="76" t="str">
        <f>CR2</f>
        <v>7.5.x</v>
      </c>
      <c r="CS19" s="22">
        <f>CS14</f>
        <v>0.96078431372549022</v>
      </c>
      <c r="CU19" s="22">
        <f>CU14</f>
        <v>3.9215686274509803E-2</v>
      </c>
      <c r="CW19" s="22">
        <f>CW14</f>
        <v>0</v>
      </c>
    </row>
    <row r="20" spans="2:102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02" ht="15" x14ac:dyDescent="0.25">
      <c r="BT21" s="76" t="str">
        <f>CB19</f>
        <v>7.3.x</v>
      </c>
      <c r="BU21" s="28">
        <f t="shared" ref="BU21:BY21" si="27">CC19</f>
        <v>0.86222222222222222</v>
      </c>
      <c r="BV21" s="28"/>
      <c r="BW21" s="28">
        <f t="shared" si="27"/>
        <v>3.5555555555555556E-2</v>
      </c>
      <c r="BX21" s="28"/>
      <c r="BY21" s="28">
        <f t="shared" si="27"/>
        <v>0.10222222222222223</v>
      </c>
      <c r="BZ21" s="76"/>
    </row>
    <row r="22" spans="2:102" ht="15" x14ac:dyDescent="0.25">
      <c r="C22" t="s">
        <v>0</v>
      </c>
      <c r="E22" t="s">
        <v>49</v>
      </c>
      <c r="G22" s="107" t="s">
        <v>61</v>
      </c>
      <c r="H22" s="108"/>
      <c r="BT22" s="76" t="str">
        <f>CJ19</f>
        <v>7.4.x</v>
      </c>
      <c r="BU22" s="28">
        <f t="shared" ref="BU22:BY22" si="28">CK19</f>
        <v>0.85436893203883491</v>
      </c>
      <c r="BV22" s="28"/>
      <c r="BW22" s="28">
        <f t="shared" si="28"/>
        <v>0.10679611650485436</v>
      </c>
      <c r="BX22" s="28"/>
      <c r="BY22" s="28">
        <f t="shared" si="28"/>
        <v>3.8834951456310676E-2</v>
      </c>
    </row>
    <row r="23" spans="2:102" ht="15" x14ac:dyDescent="0.25">
      <c r="G23" s="77"/>
      <c r="H23" s="78"/>
      <c r="BT23" s="76" t="str">
        <f>CR19</f>
        <v>7.5.x</v>
      </c>
      <c r="BU23" s="28">
        <f>CS19</f>
        <v>0.96078431372549022</v>
      </c>
      <c r="BV23" s="28"/>
      <c r="BW23" s="28">
        <f>CU19</f>
        <v>3.9215686274509803E-2</v>
      </c>
      <c r="BX23" s="28"/>
      <c r="BY23" s="28">
        <f>CW19</f>
        <v>0</v>
      </c>
    </row>
    <row r="24" spans="2:102" ht="15" x14ac:dyDescent="0.25">
      <c r="B24" t="s">
        <v>43</v>
      </c>
      <c r="C24" s="22">
        <f>C16</f>
        <v>0.95066079295154182</v>
      </c>
      <c r="E24" s="22">
        <f>E16</f>
        <v>2.8193832599118944E-2</v>
      </c>
      <c r="G24" s="22">
        <f>G16</f>
        <v>2.1145374449339206E-2</v>
      </c>
    </row>
    <row r="25" spans="2:102" ht="15" x14ac:dyDescent="0.25">
      <c r="B25" t="s">
        <v>44</v>
      </c>
      <c r="C25" s="22">
        <f>K16</f>
        <v>0.57425742574257421</v>
      </c>
      <c r="E25" s="22">
        <f>M16</f>
        <v>7.9207920792079209E-2</v>
      </c>
      <c r="G25" s="22">
        <f>O16</f>
        <v>0.34653465346534651</v>
      </c>
    </row>
    <row r="26" spans="2:102" ht="15" x14ac:dyDescent="0.25">
      <c r="B26" t="s">
        <v>60</v>
      </c>
      <c r="C26" s="22">
        <f>S16</f>
        <v>0.91990291262135926</v>
      </c>
      <c r="E26" s="22">
        <f>U16</f>
        <v>3.2362459546925564E-2</v>
      </c>
      <c r="G26" s="22">
        <f>W16</f>
        <v>4.7734627831715212E-2</v>
      </c>
    </row>
    <row r="27" spans="2:102" x14ac:dyDescent="0.3">
      <c r="B27" s="56">
        <v>6.6</v>
      </c>
      <c r="C27" s="22">
        <f>AB16</f>
        <v>0.8545454545454545</v>
      </c>
      <c r="E27" s="22">
        <f>AD16</f>
        <v>7.5324675324675322E-2</v>
      </c>
      <c r="G27" s="28">
        <f>AF16</f>
        <v>7.0129870129870125E-2</v>
      </c>
    </row>
    <row r="28" spans="2:102" x14ac:dyDescent="0.3">
      <c r="B28" s="56">
        <v>6.7</v>
      </c>
      <c r="C28" s="22">
        <f>AJ16</f>
        <v>0.6485623003194888</v>
      </c>
      <c r="E28" s="22">
        <f>AL16</f>
        <v>0.11501597444089456</v>
      </c>
      <c r="G28" s="28">
        <f>AN16</f>
        <v>0.2364217252396166</v>
      </c>
    </row>
    <row r="29" spans="2:102" x14ac:dyDescent="0.3">
      <c r="B29" s="56" t="s">
        <v>74</v>
      </c>
      <c r="C29" s="22">
        <f>AR16</f>
        <v>0.52595155709342556</v>
      </c>
      <c r="E29" s="22">
        <f>AT16</f>
        <v>0.20069204152249134</v>
      </c>
      <c r="G29" s="28">
        <f>AV16</f>
        <v>0.27335640138408307</v>
      </c>
    </row>
    <row r="30" spans="2:102" x14ac:dyDescent="0.3">
      <c r="B30" t="s">
        <v>45</v>
      </c>
      <c r="C30" s="22">
        <f>C60</f>
        <v>0.82072829131652658</v>
      </c>
      <c r="E30" s="22">
        <f>E60</f>
        <v>8.4033613445378158E-2</v>
      </c>
      <c r="G30" s="28">
        <f>G60</f>
        <v>9.5238095238095233E-2</v>
      </c>
    </row>
    <row r="31" spans="2:102" x14ac:dyDescent="0.3">
      <c r="B31" t="s">
        <v>42</v>
      </c>
      <c r="C31" s="22">
        <f>K77</f>
        <v>0.97068771138669674</v>
      </c>
      <c r="E31" s="22">
        <f>M77</f>
        <v>9.0191657271702363E-3</v>
      </c>
      <c r="G31" s="28">
        <f>O77</f>
        <v>2.0293122886133032E-2</v>
      </c>
    </row>
    <row r="32" spans="2:102" x14ac:dyDescent="0.3">
      <c r="B32" t="s">
        <v>46</v>
      </c>
      <c r="C32" s="22">
        <f>S77</f>
        <v>0.95198675496688745</v>
      </c>
      <c r="E32" s="22">
        <f>U77</f>
        <v>3.4768211920529798E-2</v>
      </c>
      <c r="G32" s="28">
        <f>W77</f>
        <v>1.3245033112582781E-2</v>
      </c>
    </row>
    <row r="33" spans="2:41" x14ac:dyDescent="0.3">
      <c r="B33" t="s">
        <v>64</v>
      </c>
      <c r="C33" s="22">
        <f>AB77</f>
        <v>0.73888888888888893</v>
      </c>
      <c r="E33" s="22">
        <f>AD77</f>
        <v>6.6666666666666666E-2</v>
      </c>
      <c r="G33" s="28">
        <f>AF77</f>
        <v>0.19444444444444445</v>
      </c>
    </row>
    <row r="34" spans="2:41" x14ac:dyDescent="0.3">
      <c r="B34" t="s">
        <v>65</v>
      </c>
      <c r="C34" s="22">
        <f>AJ77</f>
        <v>0.97576530612244894</v>
      </c>
      <c r="E34" s="22">
        <f>AL77</f>
        <v>1.2755102040816327E-2</v>
      </c>
      <c r="G34" s="28">
        <f>AN77</f>
        <v>1.1479591836734694E-2</v>
      </c>
    </row>
    <row r="36" spans="2:41" x14ac:dyDescent="0.3">
      <c r="C36" t="s">
        <v>0</v>
      </c>
      <c r="E36" t="s">
        <v>49</v>
      </c>
      <c r="G36" s="107" t="s">
        <v>61</v>
      </c>
      <c r="H36" s="108"/>
    </row>
    <row r="37" spans="2:41" x14ac:dyDescent="0.3">
      <c r="B37" t="s">
        <v>43</v>
      </c>
      <c r="C37" s="27">
        <v>1079</v>
      </c>
      <c r="D37" s="27"/>
      <c r="E37" s="27">
        <v>57</v>
      </c>
      <c r="F37" s="27"/>
      <c r="G37" s="27">
        <v>0</v>
      </c>
    </row>
    <row r="38" spans="2:41" x14ac:dyDescent="0.3">
      <c r="B38" t="s">
        <v>44</v>
      </c>
      <c r="C38" s="27">
        <v>125</v>
      </c>
      <c r="D38" s="27"/>
      <c r="E38" s="27">
        <v>0</v>
      </c>
      <c r="F38" s="27"/>
      <c r="G38" s="27">
        <v>0</v>
      </c>
    </row>
    <row r="39" spans="2:41" x14ac:dyDescent="0.3">
      <c r="B39" s="56">
        <v>6.6</v>
      </c>
      <c r="C39" s="27">
        <v>0</v>
      </c>
      <c r="D39" s="27"/>
      <c r="E39" s="27">
        <v>0</v>
      </c>
      <c r="F39" s="27"/>
      <c r="G39" s="27">
        <v>0</v>
      </c>
    </row>
    <row r="40" spans="2:41" x14ac:dyDescent="0.3">
      <c r="B40" t="s">
        <v>45</v>
      </c>
      <c r="C40" s="27">
        <v>194.333333333333</v>
      </c>
      <c r="D40" s="27"/>
      <c r="E40" s="27">
        <v>45</v>
      </c>
      <c r="F40" s="27"/>
      <c r="G40" s="27">
        <v>9</v>
      </c>
    </row>
    <row r="41" spans="2:41" x14ac:dyDescent="0.3">
      <c r="B41" t="s">
        <v>42</v>
      </c>
      <c r="C41" s="27">
        <v>150.333333333333</v>
      </c>
      <c r="D41" s="27"/>
      <c r="E41" s="27">
        <v>31</v>
      </c>
      <c r="F41" s="27"/>
      <c r="G41" s="27">
        <v>-9</v>
      </c>
    </row>
    <row r="42" spans="2:41" x14ac:dyDescent="0.3">
      <c r="B42" t="s">
        <v>46</v>
      </c>
      <c r="C42" s="27">
        <v>106.333333333333</v>
      </c>
      <c r="D42" s="27"/>
      <c r="E42" s="27">
        <v>17</v>
      </c>
      <c r="F42" s="27"/>
      <c r="G42" s="27">
        <v>-27</v>
      </c>
    </row>
    <row r="46" spans="2:41" ht="18.600000000000001" thickBot="1" x14ac:dyDescent="0.4">
      <c r="B46" s="1" t="s">
        <v>47</v>
      </c>
      <c r="J46" s="1" t="s">
        <v>42</v>
      </c>
      <c r="R46" s="1" t="s">
        <v>46</v>
      </c>
      <c r="AA46" s="1" t="s">
        <v>64</v>
      </c>
      <c r="AI46" s="1" t="s">
        <v>65</v>
      </c>
    </row>
    <row r="47" spans="2:41" ht="15" thickBot="1" x14ac:dyDescent="0.35">
      <c r="B47" s="18" t="s">
        <v>22</v>
      </c>
      <c r="C47" s="86" t="s">
        <v>0</v>
      </c>
      <c r="D47" s="86"/>
      <c r="E47" s="86" t="s">
        <v>49</v>
      </c>
      <c r="F47" s="86"/>
      <c r="G47" s="87" t="s">
        <v>61</v>
      </c>
      <c r="H47" s="88"/>
      <c r="J47" s="18" t="s">
        <v>22</v>
      </c>
      <c r="K47" s="86" t="s">
        <v>0</v>
      </c>
      <c r="L47" s="86"/>
      <c r="M47" s="86" t="s">
        <v>49</v>
      </c>
      <c r="N47" s="86"/>
      <c r="O47" s="87" t="s">
        <v>63</v>
      </c>
      <c r="P47" s="88"/>
      <c r="Q47" s="75"/>
      <c r="R47" s="18" t="s">
        <v>22</v>
      </c>
      <c r="S47" s="86" t="s">
        <v>0</v>
      </c>
      <c r="T47" s="86"/>
      <c r="U47" s="86" t="s">
        <v>49</v>
      </c>
      <c r="V47" s="86"/>
      <c r="W47" s="87" t="s">
        <v>61</v>
      </c>
      <c r="X47" s="88"/>
      <c r="Y47" s="75"/>
      <c r="AA47" s="18" t="s">
        <v>22</v>
      </c>
      <c r="AB47" s="86" t="s">
        <v>0</v>
      </c>
      <c r="AC47" s="86"/>
      <c r="AD47" s="86" t="s">
        <v>49</v>
      </c>
      <c r="AE47" s="86"/>
      <c r="AF47" s="87" t="s">
        <v>61</v>
      </c>
      <c r="AG47" s="88"/>
      <c r="AI47" s="18" t="s">
        <v>22</v>
      </c>
      <c r="AJ47" s="86" t="s">
        <v>0</v>
      </c>
      <c r="AK47" s="86"/>
      <c r="AL47" s="86" t="s">
        <v>49</v>
      </c>
      <c r="AM47" s="86"/>
      <c r="AN47" s="87" t="s">
        <v>61</v>
      </c>
      <c r="AO47" s="88"/>
    </row>
    <row r="48" spans="2:41" x14ac:dyDescent="0.3">
      <c r="B48" s="42" t="s">
        <v>50</v>
      </c>
      <c r="C48" s="9">
        <v>1</v>
      </c>
      <c r="D48" s="10">
        <f>C48/C59</f>
        <v>3.4129692832764505E-3</v>
      </c>
      <c r="E48" s="9">
        <v>0</v>
      </c>
      <c r="F48" s="26">
        <f>E48/$E$59</f>
        <v>0</v>
      </c>
      <c r="G48" s="9">
        <v>0</v>
      </c>
      <c r="H48" s="23">
        <f>G48/$G$59</f>
        <v>0</v>
      </c>
      <c r="J48" s="8" t="s">
        <v>11</v>
      </c>
      <c r="K48" s="9">
        <v>0</v>
      </c>
      <c r="L48" s="10">
        <f>K48/K76</f>
        <v>0</v>
      </c>
      <c r="M48" s="9">
        <v>0</v>
      </c>
      <c r="N48" s="10">
        <f>M48/$M$76</f>
        <v>0</v>
      </c>
      <c r="O48" s="57">
        <v>0</v>
      </c>
      <c r="P48" s="23">
        <f>O48/$O$76</f>
        <v>0</v>
      </c>
      <c r="Q48" s="35"/>
      <c r="R48" s="8" t="s">
        <v>11</v>
      </c>
      <c r="S48" s="9">
        <v>0</v>
      </c>
      <c r="T48" s="10">
        <f>S48/S76</f>
        <v>0</v>
      </c>
      <c r="U48" s="9">
        <v>0</v>
      </c>
      <c r="V48" s="10">
        <f>U48/$U$76</f>
        <v>0</v>
      </c>
      <c r="W48" s="9">
        <v>0</v>
      </c>
      <c r="X48" s="23">
        <f>W48/$W$76</f>
        <v>0</v>
      </c>
      <c r="Y48" s="35"/>
      <c r="AA48" s="8" t="s">
        <v>11</v>
      </c>
      <c r="AB48" s="9">
        <v>0</v>
      </c>
      <c r="AC48" s="10">
        <f>AB48/AB76</f>
        <v>0</v>
      </c>
      <c r="AD48" s="9">
        <v>0</v>
      </c>
      <c r="AE48" s="10">
        <f>AD48/$AD$76</f>
        <v>0</v>
      </c>
      <c r="AF48" s="9">
        <v>0</v>
      </c>
      <c r="AG48" s="23">
        <f>AF48/$AF$76</f>
        <v>0</v>
      </c>
      <c r="AI48" s="8" t="s">
        <v>78</v>
      </c>
      <c r="AJ48" s="9">
        <v>0</v>
      </c>
      <c r="AK48" s="10">
        <f>AJ48/AJ76</f>
        <v>0</v>
      </c>
      <c r="AL48" s="9">
        <v>0</v>
      </c>
      <c r="AM48" s="10">
        <f>AL48/$AL$76</f>
        <v>0</v>
      </c>
      <c r="AN48" s="9">
        <v>1</v>
      </c>
      <c r="AO48" s="23">
        <f>AN48/$AN$76</f>
        <v>0.1111111111111111</v>
      </c>
    </row>
    <row r="49" spans="2:41" x14ac:dyDescent="0.3">
      <c r="B49" s="40" t="s">
        <v>51</v>
      </c>
      <c r="C49" s="7">
        <v>1</v>
      </c>
      <c r="D49" s="11">
        <f>C49/C59</f>
        <v>3.4129692832764505E-3</v>
      </c>
      <c r="E49" s="7">
        <v>0</v>
      </c>
      <c r="F49" s="24">
        <f>E49/$E$59</f>
        <v>0</v>
      </c>
      <c r="G49" s="7">
        <v>1</v>
      </c>
      <c r="H49" s="25">
        <f>G49/$G$59</f>
        <v>2.9411764705882353E-2</v>
      </c>
      <c r="J49" s="2" t="s">
        <v>1</v>
      </c>
      <c r="K49" s="7">
        <v>0</v>
      </c>
      <c r="L49" s="11">
        <f>K49/K76</f>
        <v>0</v>
      </c>
      <c r="M49" s="7">
        <v>0</v>
      </c>
      <c r="N49" s="11">
        <f>M49/$M$76</f>
        <v>0</v>
      </c>
      <c r="O49" s="59">
        <v>0</v>
      </c>
      <c r="P49" s="25">
        <f>O49/$O$76</f>
        <v>0</v>
      </c>
      <c r="Q49" s="34"/>
      <c r="R49" s="2" t="s">
        <v>1</v>
      </c>
      <c r="S49" s="7">
        <v>0</v>
      </c>
      <c r="T49" s="11">
        <f>S49/$S$76</f>
        <v>0</v>
      </c>
      <c r="U49" s="7">
        <v>0</v>
      </c>
      <c r="V49" s="11">
        <f>U49/$U$76</f>
        <v>0</v>
      </c>
      <c r="W49" s="7">
        <v>0</v>
      </c>
      <c r="X49" s="25">
        <f>W49/$W$76</f>
        <v>0</v>
      </c>
      <c r="Y49" s="34"/>
      <c r="AA49" s="2" t="s">
        <v>1</v>
      </c>
      <c r="AB49" s="7">
        <v>0</v>
      </c>
      <c r="AC49" s="11">
        <f>AB49/AB76</f>
        <v>0</v>
      </c>
      <c r="AD49" s="7">
        <v>0</v>
      </c>
      <c r="AE49" s="11">
        <f>AD49/$AD$76</f>
        <v>0</v>
      </c>
      <c r="AF49" s="7">
        <v>0</v>
      </c>
      <c r="AG49" s="13">
        <f>AF49/$AF$76</f>
        <v>0</v>
      </c>
      <c r="AI49" s="2" t="s">
        <v>1</v>
      </c>
      <c r="AJ49" s="7">
        <v>0</v>
      </c>
      <c r="AK49" s="11">
        <f>AJ49/$AJ$76</f>
        <v>0</v>
      </c>
      <c r="AL49" s="7">
        <v>1</v>
      </c>
      <c r="AM49" s="11">
        <f>AL49/$AL$76</f>
        <v>0.1</v>
      </c>
      <c r="AN49" s="7">
        <v>0</v>
      </c>
      <c r="AO49" s="13">
        <f>AN49/$AN$76</f>
        <v>0</v>
      </c>
    </row>
    <row r="50" spans="2:41" x14ac:dyDescent="0.3">
      <c r="B50" s="41" t="s">
        <v>52</v>
      </c>
      <c r="C50" s="7">
        <v>4</v>
      </c>
      <c r="D50" s="11">
        <f>C50/C59</f>
        <v>1.3651877133105802E-2</v>
      </c>
      <c r="E50" s="7">
        <v>10</v>
      </c>
      <c r="F50" s="24">
        <f t="shared" ref="F50:F57" si="29">E50/$E$59</f>
        <v>0.33333333333333331</v>
      </c>
      <c r="G50" s="7">
        <v>9</v>
      </c>
      <c r="H50" s="25">
        <f t="shared" ref="H50:H57" si="30">G50/$G$59</f>
        <v>0.26470588235294118</v>
      </c>
      <c r="J50" s="3" t="s">
        <v>12</v>
      </c>
      <c r="K50" s="7">
        <v>70</v>
      </c>
      <c r="L50" s="11">
        <f>K50/K76</f>
        <v>8.1300813008130079E-2</v>
      </c>
      <c r="M50" s="7">
        <v>0</v>
      </c>
      <c r="N50" s="11">
        <f t="shared" ref="N50:N74" si="31">M50/$M$76</f>
        <v>0</v>
      </c>
      <c r="O50" s="59">
        <v>1</v>
      </c>
      <c r="P50" s="25">
        <f t="shared" ref="P50:P74" si="32">O50/$O$76</f>
        <v>5.5555555555555552E-2</v>
      </c>
      <c r="Q50" s="35"/>
      <c r="R50" s="3" t="s">
        <v>12</v>
      </c>
      <c r="S50" s="7">
        <v>47</v>
      </c>
      <c r="T50" s="11">
        <f t="shared" ref="T50:T74" si="33">S50/$S$76</f>
        <v>8.1739130434782606E-2</v>
      </c>
      <c r="U50" s="7">
        <v>0</v>
      </c>
      <c r="V50" s="11">
        <f t="shared" ref="V50:V74" si="34">U50/$U$76</f>
        <v>0</v>
      </c>
      <c r="W50" s="7">
        <v>0</v>
      </c>
      <c r="X50" s="25">
        <f t="shared" ref="X50:X74" si="35">W50/$W$76</f>
        <v>0</v>
      </c>
      <c r="Y50" s="35"/>
      <c r="AA50" s="3" t="s">
        <v>12</v>
      </c>
      <c r="AB50" s="7">
        <v>11</v>
      </c>
      <c r="AC50" s="11">
        <f>AB50/AB76</f>
        <v>8.2706766917293228E-2</v>
      </c>
      <c r="AD50" s="7">
        <v>0</v>
      </c>
      <c r="AE50" s="11">
        <f t="shared" ref="AE50:AE74" si="36">AD50/$AD$76</f>
        <v>0</v>
      </c>
      <c r="AF50" s="7">
        <v>2</v>
      </c>
      <c r="AG50" s="13">
        <f t="shared" ref="AG50:AG74" si="37">AF50/$AF$76</f>
        <v>5.7142857142857141E-2</v>
      </c>
      <c r="AI50" s="3" t="s">
        <v>12</v>
      </c>
      <c r="AJ50" s="7">
        <v>62</v>
      </c>
      <c r="AK50" s="11">
        <f t="shared" ref="AK50:AK74" si="38">AJ50/$AJ$76</f>
        <v>8.1045751633986932E-2</v>
      </c>
      <c r="AL50" s="7">
        <v>1</v>
      </c>
      <c r="AM50" s="11">
        <f t="shared" ref="AM50:AM74" si="39">AL50/$AL$76</f>
        <v>0.1</v>
      </c>
      <c r="AN50" s="7">
        <v>0</v>
      </c>
      <c r="AO50" s="13">
        <f t="shared" ref="AO50:AO74" si="40">AN50/$AN$76</f>
        <v>0</v>
      </c>
    </row>
    <row r="51" spans="2:41" x14ac:dyDescent="0.3">
      <c r="B51" s="41" t="s">
        <v>53</v>
      </c>
      <c r="C51" s="7">
        <v>37</v>
      </c>
      <c r="D51" s="11">
        <f>C51/C59</f>
        <v>0.12627986348122866</v>
      </c>
      <c r="E51" s="7">
        <v>2</v>
      </c>
      <c r="F51" s="24">
        <f t="shared" si="29"/>
        <v>6.6666666666666666E-2</v>
      </c>
      <c r="G51" s="7">
        <v>5</v>
      </c>
      <c r="H51" s="25">
        <f t="shared" si="30"/>
        <v>0.14705882352941177</v>
      </c>
      <c r="J51" s="3" t="s">
        <v>27</v>
      </c>
      <c r="K51" s="7">
        <v>0</v>
      </c>
      <c r="L51" s="11">
        <f>K51/K76</f>
        <v>0</v>
      </c>
      <c r="M51" s="7">
        <v>0</v>
      </c>
      <c r="N51" s="11">
        <f t="shared" si="31"/>
        <v>0</v>
      </c>
      <c r="O51" s="59">
        <v>0</v>
      </c>
      <c r="P51" s="25">
        <f t="shared" si="32"/>
        <v>0</v>
      </c>
      <c r="Q51" s="34"/>
      <c r="R51" s="3" t="s">
        <v>27</v>
      </c>
      <c r="S51" s="7">
        <v>0</v>
      </c>
      <c r="T51" s="11">
        <f t="shared" si="33"/>
        <v>0</v>
      </c>
      <c r="U51" s="7">
        <v>0</v>
      </c>
      <c r="V51" s="11">
        <f t="shared" si="34"/>
        <v>0</v>
      </c>
      <c r="W51" s="7">
        <v>0</v>
      </c>
      <c r="X51" s="25">
        <f t="shared" si="35"/>
        <v>0</v>
      </c>
      <c r="Y51" s="34"/>
      <c r="AA51" s="3" t="s">
        <v>27</v>
      </c>
      <c r="AB51" s="7">
        <v>0</v>
      </c>
      <c r="AC51" s="11">
        <f>AB51/AB76</f>
        <v>0</v>
      </c>
      <c r="AD51" s="7">
        <v>0</v>
      </c>
      <c r="AE51" s="11">
        <f t="shared" si="36"/>
        <v>0</v>
      </c>
      <c r="AF51" s="7">
        <v>0</v>
      </c>
      <c r="AG51" s="13">
        <f t="shared" si="37"/>
        <v>0</v>
      </c>
      <c r="AI51" s="3" t="s">
        <v>75</v>
      </c>
      <c r="AJ51" s="7">
        <v>0</v>
      </c>
      <c r="AK51" s="11">
        <f t="shared" si="38"/>
        <v>0</v>
      </c>
      <c r="AL51" s="7">
        <v>2</v>
      </c>
      <c r="AM51" s="11">
        <f t="shared" si="39"/>
        <v>0.2</v>
      </c>
      <c r="AN51" s="7">
        <v>1</v>
      </c>
      <c r="AO51" s="13">
        <f t="shared" si="40"/>
        <v>0.1111111111111111</v>
      </c>
    </row>
    <row r="52" spans="2:41" x14ac:dyDescent="0.3">
      <c r="B52" s="41" t="s">
        <v>54</v>
      </c>
      <c r="C52" s="7">
        <v>0</v>
      </c>
      <c r="D52" s="11">
        <f>C52/C59</f>
        <v>0</v>
      </c>
      <c r="E52" s="7">
        <v>2</v>
      </c>
      <c r="F52" s="24">
        <f t="shared" si="29"/>
        <v>6.6666666666666666E-2</v>
      </c>
      <c r="G52" s="7">
        <v>1</v>
      </c>
      <c r="H52" s="25">
        <f t="shared" si="30"/>
        <v>2.9411764705882353E-2</v>
      </c>
      <c r="J52" s="3" t="s">
        <v>28</v>
      </c>
      <c r="K52" s="7">
        <v>0</v>
      </c>
      <c r="L52" s="11">
        <f>K52/K76</f>
        <v>0</v>
      </c>
      <c r="M52" s="7">
        <v>0</v>
      </c>
      <c r="N52" s="11">
        <f t="shared" si="31"/>
        <v>0</v>
      </c>
      <c r="O52" s="59">
        <v>0</v>
      </c>
      <c r="P52" s="25">
        <f t="shared" si="32"/>
        <v>0</v>
      </c>
      <c r="Q52" s="34"/>
      <c r="R52" s="3" t="s">
        <v>28</v>
      </c>
      <c r="S52" s="7">
        <v>0</v>
      </c>
      <c r="T52" s="11">
        <f t="shared" si="33"/>
        <v>0</v>
      </c>
      <c r="U52" s="7">
        <v>0</v>
      </c>
      <c r="V52" s="11">
        <f t="shared" si="34"/>
        <v>0</v>
      </c>
      <c r="W52" s="7">
        <v>0</v>
      </c>
      <c r="X52" s="25">
        <f t="shared" si="35"/>
        <v>0</v>
      </c>
      <c r="Y52" s="34"/>
      <c r="AA52" s="3" t="s">
        <v>28</v>
      </c>
      <c r="AB52" s="7">
        <v>0</v>
      </c>
      <c r="AC52" s="11">
        <f>AB52/AB76</f>
        <v>0</v>
      </c>
      <c r="AD52" s="7">
        <v>0</v>
      </c>
      <c r="AE52" s="11">
        <f t="shared" si="36"/>
        <v>0</v>
      </c>
      <c r="AF52" s="7">
        <v>0</v>
      </c>
      <c r="AG52" s="13">
        <f t="shared" si="37"/>
        <v>0</v>
      </c>
      <c r="AI52" s="3" t="s">
        <v>28</v>
      </c>
      <c r="AJ52" s="7">
        <v>0</v>
      </c>
      <c r="AK52" s="11">
        <f t="shared" si="38"/>
        <v>0</v>
      </c>
      <c r="AL52" s="7">
        <v>0</v>
      </c>
      <c r="AM52" s="11">
        <f t="shared" si="39"/>
        <v>0</v>
      </c>
      <c r="AN52" s="7">
        <v>2</v>
      </c>
      <c r="AO52" s="13">
        <f t="shared" si="40"/>
        <v>0.22222222222222221</v>
      </c>
    </row>
    <row r="53" spans="2:41" x14ac:dyDescent="0.3">
      <c r="B53" s="41" t="s">
        <v>36</v>
      </c>
      <c r="C53" s="7">
        <v>0</v>
      </c>
      <c r="D53" s="11">
        <f>C53/C59</f>
        <v>0</v>
      </c>
      <c r="E53" s="7">
        <v>2</v>
      </c>
      <c r="F53" s="24">
        <f t="shared" si="29"/>
        <v>6.6666666666666666E-2</v>
      </c>
      <c r="G53" s="7">
        <v>0</v>
      </c>
      <c r="H53" s="25">
        <f t="shared" si="30"/>
        <v>0</v>
      </c>
      <c r="J53" s="3" t="s">
        <v>29</v>
      </c>
      <c r="K53" s="7">
        <v>0</v>
      </c>
      <c r="L53" s="11">
        <f>K53/K76</f>
        <v>0</v>
      </c>
      <c r="M53" s="7">
        <v>0</v>
      </c>
      <c r="N53" s="11">
        <f t="shared" si="31"/>
        <v>0</v>
      </c>
      <c r="O53" s="59">
        <v>0</v>
      </c>
      <c r="P53" s="25">
        <f t="shared" si="32"/>
        <v>0</v>
      </c>
      <c r="Q53" s="34"/>
      <c r="R53" s="3" t="s">
        <v>29</v>
      </c>
      <c r="S53" s="7">
        <v>0</v>
      </c>
      <c r="T53" s="11">
        <f t="shared" si="33"/>
        <v>0</v>
      </c>
      <c r="U53" s="7">
        <v>0</v>
      </c>
      <c r="V53" s="11">
        <f t="shared" si="34"/>
        <v>0</v>
      </c>
      <c r="W53" s="7">
        <v>0</v>
      </c>
      <c r="X53" s="25">
        <f t="shared" si="35"/>
        <v>0</v>
      </c>
      <c r="Y53" s="34"/>
      <c r="AA53" s="3" t="s">
        <v>29</v>
      </c>
      <c r="AB53" s="7">
        <v>0</v>
      </c>
      <c r="AC53" s="11">
        <f>AB53/AB76</f>
        <v>0</v>
      </c>
      <c r="AD53" s="7">
        <v>0</v>
      </c>
      <c r="AE53" s="11">
        <f t="shared" si="36"/>
        <v>0</v>
      </c>
      <c r="AF53" s="7">
        <v>0</v>
      </c>
      <c r="AG53" s="13">
        <f t="shared" si="37"/>
        <v>0</v>
      </c>
      <c r="AI53" s="3" t="s">
        <v>29</v>
      </c>
      <c r="AJ53" s="7">
        <v>0</v>
      </c>
      <c r="AK53" s="11">
        <f t="shared" si="38"/>
        <v>0</v>
      </c>
      <c r="AL53" s="7">
        <v>0</v>
      </c>
      <c r="AM53" s="11">
        <f t="shared" si="39"/>
        <v>0</v>
      </c>
      <c r="AN53" s="7">
        <v>0</v>
      </c>
      <c r="AO53" s="13">
        <f t="shared" si="40"/>
        <v>0</v>
      </c>
    </row>
    <row r="54" spans="2:41" x14ac:dyDescent="0.3">
      <c r="B54" s="41" t="s">
        <v>55</v>
      </c>
      <c r="C54" s="7">
        <v>1</v>
      </c>
      <c r="D54" s="11">
        <f>C54/C59</f>
        <v>3.4129692832764505E-3</v>
      </c>
      <c r="E54" s="7">
        <v>0</v>
      </c>
      <c r="F54" s="24">
        <f t="shared" si="29"/>
        <v>0</v>
      </c>
      <c r="G54" s="7">
        <v>0</v>
      </c>
      <c r="H54" s="25">
        <f t="shared" si="30"/>
        <v>0</v>
      </c>
      <c r="J54" s="3" t="s">
        <v>13</v>
      </c>
      <c r="K54" s="7">
        <v>0</v>
      </c>
      <c r="L54" s="11">
        <f>K54/K76</f>
        <v>0</v>
      </c>
      <c r="M54" s="7">
        <v>0</v>
      </c>
      <c r="N54" s="11">
        <f t="shared" si="31"/>
        <v>0</v>
      </c>
      <c r="O54" s="59">
        <v>0</v>
      </c>
      <c r="P54" s="25">
        <f t="shared" si="32"/>
        <v>0</v>
      </c>
      <c r="Q54" s="35"/>
      <c r="R54" s="3" t="s">
        <v>13</v>
      </c>
      <c r="S54" s="7">
        <v>0</v>
      </c>
      <c r="T54" s="11">
        <f t="shared" si="33"/>
        <v>0</v>
      </c>
      <c r="U54" s="7">
        <v>0</v>
      </c>
      <c r="V54" s="11">
        <f t="shared" si="34"/>
        <v>0</v>
      </c>
      <c r="W54" s="7">
        <v>0</v>
      </c>
      <c r="X54" s="25">
        <f t="shared" si="35"/>
        <v>0</v>
      </c>
      <c r="Y54" s="35"/>
      <c r="AA54" s="3" t="s">
        <v>13</v>
      </c>
      <c r="AB54" s="7">
        <v>0</v>
      </c>
      <c r="AC54" s="11">
        <f>AB54/AB76</f>
        <v>0</v>
      </c>
      <c r="AD54" s="7">
        <v>0</v>
      </c>
      <c r="AE54" s="11">
        <f t="shared" si="36"/>
        <v>0</v>
      </c>
      <c r="AF54" s="7">
        <v>0</v>
      </c>
      <c r="AG54" s="13">
        <f t="shared" si="37"/>
        <v>0</v>
      </c>
      <c r="AI54" s="3" t="s">
        <v>13</v>
      </c>
      <c r="AJ54" s="7">
        <v>0</v>
      </c>
      <c r="AK54" s="11">
        <f t="shared" si="38"/>
        <v>0</v>
      </c>
      <c r="AL54" s="7">
        <v>0</v>
      </c>
      <c r="AM54" s="11">
        <f t="shared" si="39"/>
        <v>0</v>
      </c>
      <c r="AN54" s="7">
        <v>0</v>
      </c>
      <c r="AO54" s="13">
        <f t="shared" si="40"/>
        <v>0</v>
      </c>
    </row>
    <row r="55" spans="2:41" x14ac:dyDescent="0.3">
      <c r="B55" s="41" t="s">
        <v>56</v>
      </c>
      <c r="C55" s="7">
        <v>213</v>
      </c>
      <c r="D55" s="11">
        <f>C55/C59</f>
        <v>0.726962457337884</v>
      </c>
      <c r="E55" s="7">
        <v>10</v>
      </c>
      <c r="F55" s="24">
        <f t="shared" si="29"/>
        <v>0.33333333333333331</v>
      </c>
      <c r="G55" s="7">
        <v>13</v>
      </c>
      <c r="H55" s="25">
        <f t="shared" si="30"/>
        <v>0.38235294117647056</v>
      </c>
      <c r="J55" s="3" t="s">
        <v>14</v>
      </c>
      <c r="K55" s="7">
        <v>80</v>
      </c>
      <c r="L55" s="11">
        <f>K55/K76</f>
        <v>9.2915214866434379E-2</v>
      </c>
      <c r="M55" s="7">
        <v>0</v>
      </c>
      <c r="N55" s="11">
        <f t="shared" si="31"/>
        <v>0</v>
      </c>
      <c r="O55" s="59">
        <v>1</v>
      </c>
      <c r="P55" s="25">
        <f t="shared" si="32"/>
        <v>5.5555555555555552E-2</v>
      </c>
      <c r="Q55" s="35"/>
      <c r="R55" s="3" t="s">
        <v>14</v>
      </c>
      <c r="S55" s="7">
        <v>53</v>
      </c>
      <c r="T55" s="11">
        <f t="shared" si="33"/>
        <v>9.2173913043478259E-2</v>
      </c>
      <c r="U55" s="7">
        <v>0</v>
      </c>
      <c r="V55" s="11">
        <f t="shared" si="34"/>
        <v>0</v>
      </c>
      <c r="W55" s="7">
        <v>0</v>
      </c>
      <c r="X55" s="25">
        <f t="shared" si="35"/>
        <v>0</v>
      </c>
      <c r="Y55" s="35"/>
      <c r="AA55" s="3" t="s">
        <v>14</v>
      </c>
      <c r="AB55" s="7">
        <v>12</v>
      </c>
      <c r="AC55" s="11">
        <f>AB55/AB76</f>
        <v>9.0225563909774431E-2</v>
      </c>
      <c r="AD55" s="7">
        <v>0</v>
      </c>
      <c r="AE55" s="11">
        <f t="shared" si="36"/>
        <v>0</v>
      </c>
      <c r="AF55" s="7">
        <v>9</v>
      </c>
      <c r="AG55" s="13">
        <f t="shared" si="37"/>
        <v>0.25714285714285712</v>
      </c>
      <c r="AI55" s="3" t="s">
        <v>14</v>
      </c>
      <c r="AJ55" s="7">
        <v>71</v>
      </c>
      <c r="AK55" s="11">
        <f t="shared" si="38"/>
        <v>9.2810457516339873E-2</v>
      </c>
      <c r="AL55" s="7">
        <v>0</v>
      </c>
      <c r="AM55" s="11">
        <f t="shared" si="39"/>
        <v>0</v>
      </c>
      <c r="AN55" s="7">
        <v>0</v>
      </c>
      <c r="AO55" s="13">
        <f t="shared" si="40"/>
        <v>0</v>
      </c>
    </row>
    <row r="56" spans="2:41" x14ac:dyDescent="0.3">
      <c r="B56" s="41" t="s">
        <v>57</v>
      </c>
      <c r="C56" s="7">
        <v>9</v>
      </c>
      <c r="D56" s="11">
        <f>C56/C59</f>
        <v>3.0716723549488054E-2</v>
      </c>
      <c r="E56" s="7">
        <v>0</v>
      </c>
      <c r="F56" s="24">
        <f t="shared" si="29"/>
        <v>0</v>
      </c>
      <c r="G56" s="7">
        <v>1</v>
      </c>
      <c r="H56" s="25">
        <f t="shared" si="30"/>
        <v>2.9411764705882353E-2</v>
      </c>
      <c r="J56" s="3" t="s">
        <v>3</v>
      </c>
      <c r="K56" s="7">
        <v>0</v>
      </c>
      <c r="L56" s="11">
        <f>K56/K76</f>
        <v>0</v>
      </c>
      <c r="M56" s="7">
        <v>0</v>
      </c>
      <c r="N56" s="11">
        <f t="shared" si="31"/>
        <v>0</v>
      </c>
      <c r="O56" s="59">
        <v>1</v>
      </c>
      <c r="P56" s="25">
        <f t="shared" si="32"/>
        <v>5.5555555555555552E-2</v>
      </c>
      <c r="Q56" s="35"/>
      <c r="R56" s="3" t="s">
        <v>3</v>
      </c>
      <c r="S56" s="7">
        <v>0</v>
      </c>
      <c r="T56" s="11">
        <f t="shared" si="33"/>
        <v>0</v>
      </c>
      <c r="U56" s="7">
        <v>0</v>
      </c>
      <c r="V56" s="11">
        <f t="shared" si="34"/>
        <v>0</v>
      </c>
      <c r="W56" s="7">
        <v>0</v>
      </c>
      <c r="X56" s="25">
        <f t="shared" si="35"/>
        <v>0</v>
      </c>
      <c r="Y56" s="35"/>
      <c r="AA56" s="3" t="s">
        <v>3</v>
      </c>
      <c r="AB56" s="7">
        <v>0</v>
      </c>
      <c r="AC56" s="11">
        <f>AB56/AB76</f>
        <v>0</v>
      </c>
      <c r="AD56" s="7">
        <v>0</v>
      </c>
      <c r="AE56" s="11">
        <f t="shared" si="36"/>
        <v>0</v>
      </c>
      <c r="AF56" s="7">
        <v>0</v>
      </c>
      <c r="AG56" s="13">
        <f t="shared" si="37"/>
        <v>0</v>
      </c>
      <c r="AI56" s="3" t="s">
        <v>3</v>
      </c>
      <c r="AJ56" s="7">
        <v>0</v>
      </c>
      <c r="AK56" s="11">
        <f t="shared" si="38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41" x14ac:dyDescent="0.3">
      <c r="B57" s="41" t="s">
        <v>58</v>
      </c>
      <c r="C57" s="7">
        <v>5</v>
      </c>
      <c r="D57" s="11">
        <f>C57/C59</f>
        <v>1.7064846416382253E-2</v>
      </c>
      <c r="E57" s="7">
        <v>1</v>
      </c>
      <c r="F57" s="24">
        <f t="shared" si="29"/>
        <v>3.3333333333333333E-2</v>
      </c>
      <c r="G57" s="7">
        <v>1</v>
      </c>
      <c r="H57" s="25">
        <f t="shared" si="30"/>
        <v>2.9411764705882353E-2</v>
      </c>
      <c r="J57" s="3" t="s">
        <v>30</v>
      </c>
      <c r="K57" s="7">
        <v>0</v>
      </c>
      <c r="L57" s="11">
        <f>K57/K76</f>
        <v>0</v>
      </c>
      <c r="M57" s="7">
        <v>0</v>
      </c>
      <c r="N57" s="11">
        <f t="shared" si="31"/>
        <v>0</v>
      </c>
      <c r="O57" s="59">
        <v>0</v>
      </c>
      <c r="P57" s="25">
        <f t="shared" si="32"/>
        <v>0</v>
      </c>
      <c r="Q57" s="34"/>
      <c r="R57" s="3" t="s">
        <v>30</v>
      </c>
      <c r="S57" s="7">
        <v>0</v>
      </c>
      <c r="T57" s="11">
        <f t="shared" si="33"/>
        <v>0</v>
      </c>
      <c r="U57" s="7">
        <v>0</v>
      </c>
      <c r="V57" s="11">
        <f t="shared" si="34"/>
        <v>0</v>
      </c>
      <c r="W57" s="7">
        <v>0</v>
      </c>
      <c r="X57" s="25">
        <f t="shared" si="35"/>
        <v>0</v>
      </c>
      <c r="Y57" s="34"/>
      <c r="AA57" s="3" t="s">
        <v>30</v>
      </c>
      <c r="AB57" s="7">
        <v>0</v>
      </c>
      <c r="AC57" s="11">
        <f>AB57/AB76</f>
        <v>0</v>
      </c>
      <c r="AD57" s="7">
        <v>0</v>
      </c>
      <c r="AE57" s="11">
        <f t="shared" si="36"/>
        <v>0</v>
      </c>
      <c r="AF57" s="7">
        <v>0</v>
      </c>
      <c r="AG57" s="13">
        <f t="shared" si="37"/>
        <v>0</v>
      </c>
      <c r="AI57" s="3" t="s">
        <v>30</v>
      </c>
      <c r="AJ57" s="7">
        <v>0</v>
      </c>
      <c r="AK57" s="11">
        <f t="shared" si="38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</row>
    <row r="58" spans="2:41" ht="15" thickBot="1" x14ac:dyDescent="0.35">
      <c r="B58" s="43" t="s">
        <v>59</v>
      </c>
      <c r="C58" s="44">
        <v>22</v>
      </c>
      <c r="D58" s="45">
        <f>C58/C59</f>
        <v>7.5085324232081918E-2</v>
      </c>
      <c r="E58" s="7">
        <v>3</v>
      </c>
      <c r="F58" s="24">
        <f>E58/$E$59</f>
        <v>0.1</v>
      </c>
      <c r="G58" s="44">
        <v>3</v>
      </c>
      <c r="H58" s="46">
        <f>G58/$G$59</f>
        <v>8.8235294117647065E-2</v>
      </c>
      <c r="J58" s="3" t="s">
        <v>31</v>
      </c>
      <c r="K58" s="7">
        <v>0</v>
      </c>
      <c r="L58" s="11">
        <f t="shared" ref="L58:L75" si="41">K58/$K$76</f>
        <v>0</v>
      </c>
      <c r="M58" s="7">
        <v>0</v>
      </c>
      <c r="N58" s="11">
        <f t="shared" si="31"/>
        <v>0</v>
      </c>
      <c r="O58" s="59">
        <v>0</v>
      </c>
      <c r="P58" s="25">
        <f t="shared" si="32"/>
        <v>0</v>
      </c>
      <c r="Q58" s="34"/>
      <c r="R58" s="3" t="s">
        <v>31</v>
      </c>
      <c r="S58" s="7">
        <v>0</v>
      </c>
      <c r="T58" s="11">
        <f t="shared" si="33"/>
        <v>0</v>
      </c>
      <c r="U58" s="7">
        <v>0</v>
      </c>
      <c r="V58" s="11">
        <f t="shared" si="34"/>
        <v>0</v>
      </c>
      <c r="W58" s="7">
        <v>0</v>
      </c>
      <c r="X58" s="25">
        <f t="shared" si="35"/>
        <v>0</v>
      </c>
      <c r="Y58" s="34"/>
      <c r="AA58" s="3" t="s">
        <v>31</v>
      </c>
      <c r="AB58" s="7">
        <v>0</v>
      </c>
      <c r="AC58" s="11">
        <f>AB58/$AB$76</f>
        <v>0</v>
      </c>
      <c r="AD58" s="7">
        <v>0</v>
      </c>
      <c r="AE58" s="11">
        <f t="shared" si="36"/>
        <v>0</v>
      </c>
      <c r="AF58" s="7">
        <v>0</v>
      </c>
      <c r="AG58" s="13">
        <f t="shared" si="37"/>
        <v>0</v>
      </c>
      <c r="AI58" s="3" t="s">
        <v>31</v>
      </c>
      <c r="AJ58" s="7">
        <v>0</v>
      </c>
      <c r="AK58" s="11">
        <f t="shared" si="38"/>
        <v>0</v>
      </c>
      <c r="AL58" s="7">
        <v>0</v>
      </c>
      <c r="AM58" s="11">
        <f t="shared" si="39"/>
        <v>0</v>
      </c>
      <c r="AN58" s="7">
        <v>0</v>
      </c>
      <c r="AO58" s="13">
        <f t="shared" si="40"/>
        <v>0</v>
      </c>
    </row>
    <row r="59" spans="2:41" ht="15" thickBot="1" x14ac:dyDescent="0.35">
      <c r="B59" s="47" t="s">
        <v>25</v>
      </c>
      <c r="C59" s="109">
        <f>SUM(C48:C58)</f>
        <v>293</v>
      </c>
      <c r="D59" s="110"/>
      <c r="E59" s="109">
        <f>SUM(E48:E58)</f>
        <v>30</v>
      </c>
      <c r="F59" s="110"/>
      <c r="G59" s="109">
        <f>SUM(G48:G58)</f>
        <v>34</v>
      </c>
      <c r="H59" s="110"/>
      <c r="J59" s="3" t="s">
        <v>32</v>
      </c>
      <c r="K59" s="31">
        <v>0</v>
      </c>
      <c r="L59" s="11">
        <f t="shared" si="41"/>
        <v>0</v>
      </c>
      <c r="M59" s="31">
        <v>0</v>
      </c>
      <c r="N59" s="11">
        <f t="shared" si="31"/>
        <v>0</v>
      </c>
      <c r="O59" s="67">
        <v>0</v>
      </c>
      <c r="P59" s="25">
        <f t="shared" si="32"/>
        <v>0</v>
      </c>
      <c r="Q59" s="35"/>
      <c r="R59" s="3" t="s">
        <v>32</v>
      </c>
      <c r="S59" s="31">
        <v>0</v>
      </c>
      <c r="T59" s="11">
        <f t="shared" si="33"/>
        <v>0</v>
      </c>
      <c r="U59" s="31">
        <v>0</v>
      </c>
      <c r="V59" s="11">
        <f t="shared" si="34"/>
        <v>0</v>
      </c>
      <c r="W59" s="31">
        <v>3</v>
      </c>
      <c r="X59" s="25">
        <f t="shared" si="35"/>
        <v>0.375</v>
      </c>
      <c r="Y59" s="35"/>
      <c r="AA59" s="3" t="s">
        <v>32</v>
      </c>
      <c r="AB59" s="31">
        <v>0</v>
      </c>
      <c r="AC59" s="11">
        <f t="shared" ref="AC59:AC73" si="42">AB59/$AB$76</f>
        <v>0</v>
      </c>
      <c r="AD59" s="31">
        <v>0</v>
      </c>
      <c r="AE59" s="11">
        <f t="shared" si="36"/>
        <v>0</v>
      </c>
      <c r="AF59" s="31">
        <v>0</v>
      </c>
      <c r="AG59" s="13">
        <f t="shared" si="37"/>
        <v>0</v>
      </c>
      <c r="AI59" s="3" t="s">
        <v>32</v>
      </c>
      <c r="AJ59" s="31">
        <v>0</v>
      </c>
      <c r="AK59" s="11">
        <f t="shared" si="38"/>
        <v>0</v>
      </c>
      <c r="AL59" s="31">
        <v>0</v>
      </c>
      <c r="AM59" s="11">
        <f t="shared" si="39"/>
        <v>0</v>
      </c>
      <c r="AN59" s="31">
        <v>0</v>
      </c>
      <c r="AO59" s="13">
        <f t="shared" si="40"/>
        <v>0</v>
      </c>
    </row>
    <row r="60" spans="2:41" ht="15" thickBot="1" x14ac:dyDescent="0.35">
      <c r="B60" s="32" t="s">
        <v>26</v>
      </c>
      <c r="C60" s="112">
        <f>C59/($C$59+$E$59+$G$59)</f>
        <v>0.82072829131652658</v>
      </c>
      <c r="D60" s="113"/>
      <c r="E60" s="112">
        <f>E59/($C$59+$E$59+$G$59)</f>
        <v>8.4033613445378158E-2</v>
      </c>
      <c r="F60" s="113"/>
      <c r="G60" s="112">
        <f>G59/($C$59+$E$59+$G$59)</f>
        <v>9.5238095238095233E-2</v>
      </c>
      <c r="H60" s="113"/>
      <c r="J60" s="3" t="s">
        <v>33</v>
      </c>
      <c r="K60" s="7">
        <v>0</v>
      </c>
      <c r="L60" s="11">
        <f t="shared" si="41"/>
        <v>0</v>
      </c>
      <c r="M60" s="7">
        <v>0</v>
      </c>
      <c r="N60" s="11">
        <f t="shared" si="31"/>
        <v>0</v>
      </c>
      <c r="O60" s="59">
        <v>0</v>
      </c>
      <c r="P60" s="25">
        <f t="shared" si="32"/>
        <v>0</v>
      </c>
      <c r="Q60" s="34"/>
      <c r="R60" s="3" t="s">
        <v>33</v>
      </c>
      <c r="S60" s="7">
        <v>0</v>
      </c>
      <c r="T60" s="11">
        <f t="shared" si="33"/>
        <v>0</v>
      </c>
      <c r="U60" s="7">
        <v>0</v>
      </c>
      <c r="V60" s="11">
        <f t="shared" si="34"/>
        <v>0</v>
      </c>
      <c r="W60" s="7">
        <v>0</v>
      </c>
      <c r="X60" s="25">
        <f t="shared" si="35"/>
        <v>0</v>
      </c>
      <c r="Y60" s="34"/>
      <c r="AA60" s="3" t="s">
        <v>33</v>
      </c>
      <c r="AB60" s="7">
        <v>0</v>
      </c>
      <c r="AC60" s="11">
        <f t="shared" si="42"/>
        <v>0</v>
      </c>
      <c r="AD60" s="7">
        <v>0</v>
      </c>
      <c r="AE60" s="11">
        <f t="shared" si="36"/>
        <v>0</v>
      </c>
      <c r="AF60" s="7">
        <v>0</v>
      </c>
      <c r="AG60" s="13">
        <f t="shared" si="37"/>
        <v>0</v>
      </c>
      <c r="AI60" s="3" t="s">
        <v>33</v>
      </c>
      <c r="AJ60" s="7">
        <v>0</v>
      </c>
      <c r="AK60" s="11">
        <f t="shared" si="38"/>
        <v>0</v>
      </c>
      <c r="AL60" s="7">
        <v>0</v>
      </c>
      <c r="AM60" s="11">
        <f t="shared" si="39"/>
        <v>0</v>
      </c>
      <c r="AN60" s="7">
        <v>0</v>
      </c>
      <c r="AO60" s="13">
        <f t="shared" si="40"/>
        <v>0</v>
      </c>
    </row>
    <row r="61" spans="2:41" ht="15" thickBot="1" x14ac:dyDescent="0.35">
      <c r="B61" s="48" t="s">
        <v>23</v>
      </c>
      <c r="C61" s="114">
        <v>0.85</v>
      </c>
      <c r="D61" s="115"/>
      <c r="E61" s="114">
        <v>0.1</v>
      </c>
      <c r="F61" s="115"/>
      <c r="G61" s="114">
        <v>0.05</v>
      </c>
      <c r="H61" s="115"/>
      <c r="J61" s="3" t="s">
        <v>18</v>
      </c>
      <c r="K61" s="7">
        <v>0</v>
      </c>
      <c r="L61" s="11">
        <f t="shared" si="41"/>
        <v>0</v>
      </c>
      <c r="M61" s="7">
        <v>0</v>
      </c>
      <c r="N61" s="11">
        <f t="shared" si="31"/>
        <v>0</v>
      </c>
      <c r="O61" s="59">
        <v>0</v>
      </c>
      <c r="P61" s="25">
        <f t="shared" si="32"/>
        <v>0</v>
      </c>
      <c r="Q61" s="34"/>
      <c r="R61" s="3" t="s">
        <v>18</v>
      </c>
      <c r="S61" s="7">
        <v>0</v>
      </c>
      <c r="T61" s="11">
        <f t="shared" si="33"/>
        <v>0</v>
      </c>
      <c r="U61" s="7">
        <v>0</v>
      </c>
      <c r="V61" s="11">
        <f t="shared" si="34"/>
        <v>0</v>
      </c>
      <c r="W61" s="7">
        <v>0</v>
      </c>
      <c r="X61" s="25">
        <f t="shared" si="35"/>
        <v>0</v>
      </c>
      <c r="Y61" s="34"/>
      <c r="AA61" s="3" t="s">
        <v>18</v>
      </c>
      <c r="AB61" s="7">
        <v>0</v>
      </c>
      <c r="AC61" s="11">
        <f t="shared" si="42"/>
        <v>0</v>
      </c>
      <c r="AD61" s="7">
        <v>0</v>
      </c>
      <c r="AE61" s="11">
        <f t="shared" si="36"/>
        <v>0</v>
      </c>
      <c r="AF61" s="7">
        <v>0</v>
      </c>
      <c r="AG61" s="13">
        <f t="shared" si="37"/>
        <v>0</v>
      </c>
      <c r="AI61" s="3" t="s">
        <v>18</v>
      </c>
      <c r="AJ61" s="7">
        <v>0</v>
      </c>
      <c r="AK61" s="11">
        <f t="shared" si="38"/>
        <v>0</v>
      </c>
      <c r="AL61" s="7">
        <v>0</v>
      </c>
      <c r="AM61" s="11">
        <f t="shared" si="39"/>
        <v>0</v>
      </c>
      <c r="AN61" s="7">
        <v>0</v>
      </c>
      <c r="AO61" s="13">
        <f t="shared" si="40"/>
        <v>0</v>
      </c>
    </row>
    <row r="62" spans="2:41" ht="15" thickBot="1" x14ac:dyDescent="0.35">
      <c r="B62" s="49" t="s">
        <v>24</v>
      </c>
      <c r="C62" s="102">
        <f>C60-C61</f>
        <v>-2.9271708683473396E-2</v>
      </c>
      <c r="D62" s="103"/>
      <c r="E62" s="102">
        <f>E61-E60</f>
        <v>1.5966386554621848E-2</v>
      </c>
      <c r="F62" s="103"/>
      <c r="G62" s="102">
        <f>G61-G60</f>
        <v>-4.523809523809523E-2</v>
      </c>
      <c r="H62" s="103"/>
      <c r="J62" s="3" t="s">
        <v>62</v>
      </c>
      <c r="K62" s="7">
        <v>561</v>
      </c>
      <c r="L62" s="11">
        <f t="shared" si="41"/>
        <v>0.65156794425087106</v>
      </c>
      <c r="M62" s="7">
        <v>3</v>
      </c>
      <c r="N62" s="11">
        <f t="shared" si="31"/>
        <v>0.375</v>
      </c>
      <c r="O62" s="59">
        <v>9</v>
      </c>
      <c r="P62" s="25">
        <f t="shared" si="32"/>
        <v>0.5</v>
      </c>
      <c r="Q62" s="34"/>
      <c r="R62" s="3" t="s">
        <v>34</v>
      </c>
      <c r="S62" s="7">
        <v>0</v>
      </c>
      <c r="T62" s="11">
        <f t="shared" si="33"/>
        <v>0</v>
      </c>
      <c r="U62" s="7">
        <v>0</v>
      </c>
      <c r="V62" s="11">
        <f t="shared" si="34"/>
        <v>0</v>
      </c>
      <c r="W62" s="7">
        <v>0</v>
      </c>
      <c r="X62" s="25">
        <f t="shared" si="35"/>
        <v>0</v>
      </c>
      <c r="Y62" s="34"/>
      <c r="AA62" s="3" t="s">
        <v>34</v>
      </c>
      <c r="AB62" s="7">
        <v>0</v>
      </c>
      <c r="AC62" s="11">
        <f t="shared" si="42"/>
        <v>0</v>
      </c>
      <c r="AD62" s="7">
        <v>0</v>
      </c>
      <c r="AE62" s="11">
        <f t="shared" si="36"/>
        <v>0</v>
      </c>
      <c r="AF62" s="7">
        <v>0</v>
      </c>
      <c r="AG62" s="13">
        <f t="shared" si="37"/>
        <v>0</v>
      </c>
      <c r="AI62" s="3" t="s">
        <v>76</v>
      </c>
      <c r="AJ62" s="7">
        <v>0</v>
      </c>
      <c r="AK62" s="11">
        <f t="shared" si="38"/>
        <v>0</v>
      </c>
      <c r="AL62" s="7">
        <v>1</v>
      </c>
      <c r="AM62" s="11">
        <f t="shared" si="39"/>
        <v>0.1</v>
      </c>
      <c r="AN62" s="7">
        <v>0</v>
      </c>
      <c r="AO62" s="13">
        <f t="shared" si="40"/>
        <v>0</v>
      </c>
    </row>
    <row r="63" spans="2:41" x14ac:dyDescent="0.3">
      <c r="B63" s="50"/>
      <c r="C63" s="29"/>
      <c r="D63" s="34"/>
      <c r="E63" s="29"/>
      <c r="F63" s="36"/>
      <c r="G63" s="29"/>
      <c r="H63" s="36"/>
      <c r="J63" s="3" t="s">
        <v>35</v>
      </c>
      <c r="K63" s="7">
        <v>0</v>
      </c>
      <c r="L63" s="11">
        <f t="shared" si="41"/>
        <v>0</v>
      </c>
      <c r="M63" s="7">
        <v>0</v>
      </c>
      <c r="N63" s="11">
        <f t="shared" si="31"/>
        <v>0</v>
      </c>
      <c r="O63" s="59">
        <v>0</v>
      </c>
      <c r="P63" s="25">
        <f t="shared" si="32"/>
        <v>0</v>
      </c>
      <c r="Q63" s="34"/>
      <c r="R63" s="3" t="s">
        <v>62</v>
      </c>
      <c r="S63" s="7">
        <v>374</v>
      </c>
      <c r="T63" s="11">
        <f t="shared" si="33"/>
        <v>0.65043478260869569</v>
      </c>
      <c r="U63" s="66">
        <v>17</v>
      </c>
      <c r="V63" s="11">
        <f t="shared" si="34"/>
        <v>0.80952380952380953</v>
      </c>
      <c r="W63" s="7">
        <v>2</v>
      </c>
      <c r="X63" s="25">
        <f t="shared" si="35"/>
        <v>0.25</v>
      </c>
      <c r="Y63" s="34"/>
      <c r="AA63" s="3" t="s">
        <v>62</v>
      </c>
      <c r="AB63" s="7">
        <v>87</v>
      </c>
      <c r="AC63" s="11">
        <f t="shared" si="42"/>
        <v>0.65413533834586468</v>
      </c>
      <c r="AD63" s="7">
        <v>10</v>
      </c>
      <c r="AE63" s="11">
        <f t="shared" si="36"/>
        <v>0.83333333333333337</v>
      </c>
      <c r="AF63" s="7">
        <v>19</v>
      </c>
      <c r="AG63" s="13">
        <f t="shared" si="37"/>
        <v>0.54285714285714282</v>
      </c>
      <c r="AI63" s="3" t="s">
        <v>62</v>
      </c>
      <c r="AJ63" s="7">
        <v>498</v>
      </c>
      <c r="AK63" s="11">
        <f t="shared" si="38"/>
        <v>0.65098039215686276</v>
      </c>
      <c r="AL63" s="7">
        <v>1</v>
      </c>
      <c r="AM63" s="11">
        <f t="shared" si="39"/>
        <v>0.1</v>
      </c>
      <c r="AN63" s="7">
        <v>0</v>
      </c>
      <c r="AO63" s="13">
        <f t="shared" si="40"/>
        <v>0</v>
      </c>
    </row>
    <row r="64" spans="2:41" x14ac:dyDescent="0.3">
      <c r="B64" s="33"/>
      <c r="C64" s="29"/>
      <c r="D64" s="34"/>
      <c r="E64" s="29"/>
      <c r="F64" s="36"/>
      <c r="G64" s="29"/>
      <c r="H64" s="36"/>
      <c r="J64" s="3" t="s">
        <v>20</v>
      </c>
      <c r="K64" s="7">
        <v>0</v>
      </c>
      <c r="L64" s="11">
        <f t="shared" si="41"/>
        <v>0</v>
      </c>
      <c r="M64" s="7">
        <v>0</v>
      </c>
      <c r="N64" s="11">
        <f t="shared" si="31"/>
        <v>0</v>
      </c>
      <c r="O64" s="59">
        <v>0</v>
      </c>
      <c r="P64" s="25">
        <f t="shared" si="32"/>
        <v>0</v>
      </c>
      <c r="Q64" s="34"/>
      <c r="R64" s="3" t="s">
        <v>20</v>
      </c>
      <c r="S64" s="7">
        <v>0</v>
      </c>
      <c r="T64" s="11">
        <f t="shared" si="33"/>
        <v>0</v>
      </c>
      <c r="U64" s="7">
        <v>0</v>
      </c>
      <c r="V64" s="11">
        <f t="shared" si="34"/>
        <v>0</v>
      </c>
      <c r="W64" s="7">
        <v>0</v>
      </c>
      <c r="X64" s="25">
        <f t="shared" si="35"/>
        <v>0</v>
      </c>
      <c r="Y64" s="34"/>
      <c r="AA64" s="3" t="s">
        <v>20</v>
      </c>
      <c r="AB64" s="7">
        <v>0</v>
      </c>
      <c r="AC64" s="11">
        <f t="shared" si="42"/>
        <v>0</v>
      </c>
      <c r="AD64" s="7">
        <v>0</v>
      </c>
      <c r="AE64" s="11">
        <f t="shared" si="36"/>
        <v>0</v>
      </c>
      <c r="AF64" s="7">
        <v>0</v>
      </c>
      <c r="AG64" s="13">
        <f t="shared" si="37"/>
        <v>0</v>
      </c>
      <c r="AI64" s="3" t="s">
        <v>20</v>
      </c>
      <c r="AJ64" s="7">
        <v>0</v>
      </c>
      <c r="AK64" s="11">
        <f t="shared" si="38"/>
        <v>0</v>
      </c>
      <c r="AL64" s="7">
        <v>0</v>
      </c>
      <c r="AM64" s="11">
        <f t="shared" si="39"/>
        <v>0</v>
      </c>
      <c r="AN64" s="7">
        <v>0</v>
      </c>
      <c r="AO64" s="13">
        <f t="shared" si="40"/>
        <v>0</v>
      </c>
    </row>
    <row r="65" spans="2:41" x14ac:dyDescent="0.3">
      <c r="B65" s="33"/>
      <c r="C65" s="29"/>
      <c r="D65" s="34"/>
      <c r="E65" s="29"/>
      <c r="F65" s="36"/>
      <c r="G65" s="29"/>
      <c r="H65" s="36"/>
      <c r="J65" s="3" t="s">
        <v>19</v>
      </c>
      <c r="K65" s="7">
        <v>0</v>
      </c>
      <c r="L65" s="11">
        <f t="shared" si="41"/>
        <v>0</v>
      </c>
      <c r="M65" s="7">
        <v>0</v>
      </c>
      <c r="N65" s="11">
        <f t="shared" si="31"/>
        <v>0</v>
      </c>
      <c r="O65" s="59">
        <v>0</v>
      </c>
      <c r="P65" s="25">
        <f t="shared" si="32"/>
        <v>0</v>
      </c>
      <c r="Q65" s="34"/>
      <c r="R65" s="3" t="s">
        <v>19</v>
      </c>
      <c r="S65" s="7">
        <v>0</v>
      </c>
      <c r="T65" s="11">
        <f t="shared" si="33"/>
        <v>0</v>
      </c>
      <c r="U65" s="7">
        <v>0</v>
      </c>
      <c r="V65" s="11">
        <f t="shared" si="34"/>
        <v>0</v>
      </c>
      <c r="W65" s="7">
        <v>1</v>
      </c>
      <c r="X65" s="25">
        <f t="shared" si="35"/>
        <v>0.125</v>
      </c>
      <c r="Y65" s="34"/>
      <c r="AA65" s="3" t="s">
        <v>19</v>
      </c>
      <c r="AB65" s="7">
        <v>0</v>
      </c>
      <c r="AC65" s="11">
        <f t="shared" si="42"/>
        <v>0</v>
      </c>
      <c r="AD65" s="7">
        <v>0</v>
      </c>
      <c r="AE65" s="11">
        <f t="shared" si="36"/>
        <v>0</v>
      </c>
      <c r="AF65" s="7">
        <v>0</v>
      </c>
      <c r="AG65" s="13">
        <f t="shared" si="37"/>
        <v>0</v>
      </c>
      <c r="AI65" s="3" t="s">
        <v>19</v>
      </c>
      <c r="AJ65" s="7">
        <v>0</v>
      </c>
      <c r="AK65" s="11">
        <f t="shared" si="38"/>
        <v>0</v>
      </c>
      <c r="AL65" s="7">
        <v>0</v>
      </c>
      <c r="AM65" s="11">
        <f t="shared" si="39"/>
        <v>0</v>
      </c>
      <c r="AN65" s="7">
        <v>0</v>
      </c>
      <c r="AO65" s="13">
        <f t="shared" si="40"/>
        <v>0</v>
      </c>
    </row>
    <row r="66" spans="2:41" x14ac:dyDescent="0.3">
      <c r="B66" s="33"/>
      <c r="C66" s="29"/>
      <c r="D66" s="34"/>
      <c r="E66" s="29"/>
      <c r="F66" s="36"/>
      <c r="G66" s="29"/>
      <c r="H66" s="36"/>
      <c r="J66" s="3" t="s">
        <v>15</v>
      </c>
      <c r="K66" s="7">
        <v>0</v>
      </c>
      <c r="L66" s="11">
        <f t="shared" si="41"/>
        <v>0</v>
      </c>
      <c r="M66" s="7">
        <v>0</v>
      </c>
      <c r="N66" s="11">
        <f t="shared" si="31"/>
        <v>0</v>
      </c>
      <c r="O66" s="59">
        <v>0</v>
      </c>
      <c r="P66" s="25">
        <f t="shared" si="32"/>
        <v>0</v>
      </c>
      <c r="Q66" s="34"/>
      <c r="R66" s="3" t="s">
        <v>15</v>
      </c>
      <c r="S66" s="7">
        <v>0</v>
      </c>
      <c r="T66" s="11">
        <f t="shared" si="33"/>
        <v>0</v>
      </c>
      <c r="U66" s="7">
        <v>0</v>
      </c>
      <c r="V66" s="11">
        <f t="shared" si="34"/>
        <v>0</v>
      </c>
      <c r="W66" s="7">
        <v>0</v>
      </c>
      <c r="X66" s="25">
        <f t="shared" si="35"/>
        <v>0</v>
      </c>
      <c r="Y66" s="34"/>
      <c r="AA66" s="3" t="s">
        <v>15</v>
      </c>
      <c r="AB66" s="7">
        <v>0</v>
      </c>
      <c r="AC66" s="11">
        <f t="shared" si="42"/>
        <v>0</v>
      </c>
      <c r="AD66" s="7">
        <v>0</v>
      </c>
      <c r="AE66" s="11">
        <f t="shared" si="36"/>
        <v>0</v>
      </c>
      <c r="AF66" s="7">
        <v>0</v>
      </c>
      <c r="AG66" s="13">
        <f t="shared" si="37"/>
        <v>0</v>
      </c>
      <c r="AI66" s="3" t="s">
        <v>15</v>
      </c>
      <c r="AJ66" s="7">
        <v>0</v>
      </c>
      <c r="AK66" s="11">
        <f t="shared" si="38"/>
        <v>0</v>
      </c>
      <c r="AL66" s="7">
        <v>0</v>
      </c>
      <c r="AM66" s="11">
        <f t="shared" si="39"/>
        <v>0</v>
      </c>
      <c r="AN66" s="7">
        <v>0</v>
      </c>
      <c r="AO66" s="13">
        <f t="shared" si="40"/>
        <v>0</v>
      </c>
    </row>
    <row r="67" spans="2:41" x14ac:dyDescent="0.3">
      <c r="B67" s="33"/>
      <c r="C67" s="29"/>
      <c r="D67" s="34"/>
      <c r="E67" s="29"/>
      <c r="F67" s="36"/>
      <c r="G67" s="29"/>
      <c r="H67" s="36"/>
      <c r="J67" s="3" t="s">
        <v>36</v>
      </c>
      <c r="K67" s="7">
        <v>0</v>
      </c>
      <c r="L67" s="11">
        <f t="shared" si="41"/>
        <v>0</v>
      </c>
      <c r="M67" s="7">
        <v>0</v>
      </c>
      <c r="N67" s="11">
        <f t="shared" si="31"/>
        <v>0</v>
      </c>
      <c r="O67" s="59">
        <v>0</v>
      </c>
      <c r="P67" s="25">
        <f t="shared" si="32"/>
        <v>0</v>
      </c>
      <c r="Q67" s="34"/>
      <c r="R67" s="3" t="s">
        <v>36</v>
      </c>
      <c r="S67" s="7">
        <v>0</v>
      </c>
      <c r="T67" s="11">
        <f t="shared" si="33"/>
        <v>0</v>
      </c>
      <c r="U67" s="7">
        <v>0</v>
      </c>
      <c r="V67" s="11">
        <f t="shared" si="34"/>
        <v>0</v>
      </c>
      <c r="W67" s="7">
        <v>0</v>
      </c>
      <c r="X67" s="25">
        <f t="shared" si="35"/>
        <v>0</v>
      </c>
      <c r="Y67" s="34"/>
      <c r="AA67" s="3" t="s">
        <v>36</v>
      </c>
      <c r="AB67" s="7">
        <v>0</v>
      </c>
      <c r="AC67" s="11">
        <f t="shared" si="42"/>
        <v>0</v>
      </c>
      <c r="AD67" s="7">
        <v>0</v>
      </c>
      <c r="AE67" s="11">
        <f t="shared" si="36"/>
        <v>0</v>
      </c>
      <c r="AF67" s="7">
        <v>0</v>
      </c>
      <c r="AG67" s="13">
        <f t="shared" si="37"/>
        <v>0</v>
      </c>
      <c r="AI67" s="3" t="s">
        <v>36</v>
      </c>
      <c r="AJ67" s="7">
        <v>0</v>
      </c>
      <c r="AK67" s="11">
        <f t="shared" si="38"/>
        <v>0</v>
      </c>
      <c r="AL67" s="7">
        <v>0</v>
      </c>
      <c r="AM67" s="11">
        <f t="shared" si="39"/>
        <v>0</v>
      </c>
      <c r="AN67" s="7">
        <v>0</v>
      </c>
      <c r="AO67" s="13">
        <f t="shared" si="40"/>
        <v>0</v>
      </c>
    </row>
    <row r="68" spans="2:41" x14ac:dyDescent="0.3">
      <c r="B68" s="33"/>
      <c r="C68" s="29"/>
      <c r="D68" s="34"/>
      <c r="E68" s="29"/>
      <c r="F68" s="36"/>
      <c r="G68" s="29"/>
      <c r="H68" s="36"/>
      <c r="J68" s="3" t="s">
        <v>37</v>
      </c>
      <c r="K68" s="7">
        <v>0</v>
      </c>
      <c r="L68" s="11">
        <f t="shared" si="41"/>
        <v>0</v>
      </c>
      <c r="M68" s="7">
        <v>0</v>
      </c>
      <c r="N68" s="11">
        <f t="shared" si="31"/>
        <v>0</v>
      </c>
      <c r="O68" s="59">
        <v>0</v>
      </c>
      <c r="P68" s="25">
        <f t="shared" si="32"/>
        <v>0</v>
      </c>
      <c r="Q68" s="34"/>
      <c r="R68" s="3" t="s">
        <v>37</v>
      </c>
      <c r="S68" s="7">
        <v>0</v>
      </c>
      <c r="T68" s="11">
        <f t="shared" si="33"/>
        <v>0</v>
      </c>
      <c r="U68" s="7">
        <v>0</v>
      </c>
      <c r="V68" s="11">
        <f t="shared" si="34"/>
        <v>0</v>
      </c>
      <c r="W68" s="7">
        <v>0</v>
      </c>
      <c r="X68" s="25">
        <f t="shared" si="35"/>
        <v>0</v>
      </c>
      <c r="Y68" s="34"/>
      <c r="AA68" s="3" t="s">
        <v>37</v>
      </c>
      <c r="AB68" s="7">
        <v>0</v>
      </c>
      <c r="AC68" s="11">
        <f t="shared" si="42"/>
        <v>0</v>
      </c>
      <c r="AD68" s="7">
        <v>0</v>
      </c>
      <c r="AE68" s="11">
        <f t="shared" si="36"/>
        <v>0</v>
      </c>
      <c r="AF68" s="7">
        <v>0</v>
      </c>
      <c r="AG68" s="13">
        <f t="shared" si="37"/>
        <v>0</v>
      </c>
      <c r="AI68" s="3" t="s">
        <v>37</v>
      </c>
      <c r="AJ68" s="7">
        <v>0</v>
      </c>
      <c r="AK68" s="11">
        <f t="shared" si="38"/>
        <v>0</v>
      </c>
      <c r="AL68" s="7">
        <v>0</v>
      </c>
      <c r="AM68" s="11">
        <f t="shared" si="39"/>
        <v>0</v>
      </c>
      <c r="AN68" s="7">
        <v>0</v>
      </c>
      <c r="AO68" s="13">
        <f t="shared" si="40"/>
        <v>0</v>
      </c>
    </row>
    <row r="69" spans="2:41" x14ac:dyDescent="0.3">
      <c r="B69" s="33"/>
      <c r="C69" s="29"/>
      <c r="D69" s="34"/>
      <c r="E69" s="29"/>
      <c r="F69" s="36"/>
      <c r="G69" s="29"/>
      <c r="H69" s="36"/>
      <c r="J69" s="3" t="s">
        <v>38</v>
      </c>
      <c r="K69" s="7">
        <v>0</v>
      </c>
      <c r="L69" s="11">
        <f t="shared" si="41"/>
        <v>0</v>
      </c>
      <c r="M69" s="7">
        <v>0</v>
      </c>
      <c r="N69" s="11">
        <f t="shared" si="31"/>
        <v>0</v>
      </c>
      <c r="O69" s="59">
        <v>0</v>
      </c>
      <c r="P69" s="25">
        <f t="shared" si="32"/>
        <v>0</v>
      </c>
      <c r="Q69" s="34"/>
      <c r="R69" s="3" t="s">
        <v>38</v>
      </c>
      <c r="S69" s="7">
        <v>0</v>
      </c>
      <c r="T69" s="11">
        <f t="shared" si="33"/>
        <v>0</v>
      </c>
      <c r="U69" s="7">
        <v>0</v>
      </c>
      <c r="V69" s="11">
        <f t="shared" si="34"/>
        <v>0</v>
      </c>
      <c r="W69" s="7">
        <v>0</v>
      </c>
      <c r="X69" s="25">
        <f t="shared" si="35"/>
        <v>0</v>
      </c>
      <c r="Y69" s="34"/>
      <c r="AA69" s="3" t="s">
        <v>38</v>
      </c>
      <c r="AB69" s="7">
        <v>0</v>
      </c>
      <c r="AC69" s="11">
        <f t="shared" si="42"/>
        <v>0</v>
      </c>
      <c r="AD69" s="7">
        <v>0</v>
      </c>
      <c r="AE69" s="11">
        <f t="shared" si="36"/>
        <v>0</v>
      </c>
      <c r="AF69" s="7">
        <v>0</v>
      </c>
      <c r="AG69" s="13">
        <f t="shared" si="37"/>
        <v>0</v>
      </c>
      <c r="AI69" s="3" t="s">
        <v>77</v>
      </c>
      <c r="AJ69" s="7">
        <v>0</v>
      </c>
      <c r="AK69" s="11">
        <f t="shared" si="38"/>
        <v>0</v>
      </c>
      <c r="AL69" s="7">
        <v>2</v>
      </c>
      <c r="AM69" s="11">
        <f t="shared" si="39"/>
        <v>0.2</v>
      </c>
      <c r="AN69" s="7">
        <v>0</v>
      </c>
      <c r="AO69" s="13">
        <f t="shared" si="40"/>
        <v>0</v>
      </c>
    </row>
    <row r="70" spans="2:41" x14ac:dyDescent="0.3">
      <c r="B70" s="33"/>
      <c r="C70" s="29"/>
      <c r="D70" s="34"/>
      <c r="E70" s="29"/>
      <c r="F70" s="36"/>
      <c r="G70" s="29"/>
      <c r="H70" s="36"/>
      <c r="J70" s="3" t="s">
        <v>39</v>
      </c>
      <c r="K70" s="31">
        <v>0</v>
      </c>
      <c r="L70" s="11">
        <f t="shared" si="41"/>
        <v>0</v>
      </c>
      <c r="M70" s="31">
        <v>0</v>
      </c>
      <c r="N70" s="11">
        <f t="shared" si="31"/>
        <v>0</v>
      </c>
      <c r="O70" s="67">
        <v>0</v>
      </c>
      <c r="P70" s="25">
        <f t="shared" si="32"/>
        <v>0</v>
      </c>
      <c r="Q70" s="34"/>
      <c r="R70" s="3" t="s">
        <v>39</v>
      </c>
      <c r="S70" s="31">
        <v>0</v>
      </c>
      <c r="T70" s="11">
        <f t="shared" si="33"/>
        <v>0</v>
      </c>
      <c r="U70" s="31">
        <v>0</v>
      </c>
      <c r="V70" s="11">
        <f t="shared" si="34"/>
        <v>0</v>
      </c>
      <c r="W70" s="31">
        <v>0</v>
      </c>
      <c r="X70" s="25">
        <f t="shared" si="35"/>
        <v>0</v>
      </c>
      <c r="Y70" s="34"/>
      <c r="AA70" s="3" t="s">
        <v>39</v>
      </c>
      <c r="AB70" s="31">
        <v>0</v>
      </c>
      <c r="AC70" s="11">
        <f t="shared" si="42"/>
        <v>0</v>
      </c>
      <c r="AD70" s="31">
        <v>0</v>
      </c>
      <c r="AE70" s="11">
        <f t="shared" si="36"/>
        <v>0</v>
      </c>
      <c r="AF70" s="31">
        <v>0</v>
      </c>
      <c r="AG70" s="13">
        <f t="shared" si="37"/>
        <v>0</v>
      </c>
      <c r="AI70" s="3" t="s">
        <v>39</v>
      </c>
      <c r="AJ70" s="31">
        <v>0</v>
      </c>
      <c r="AK70" s="11">
        <f t="shared" si="38"/>
        <v>0</v>
      </c>
      <c r="AL70" s="31">
        <v>0</v>
      </c>
      <c r="AM70" s="11">
        <f t="shared" si="39"/>
        <v>0</v>
      </c>
      <c r="AN70" s="31">
        <v>0</v>
      </c>
      <c r="AO70" s="13">
        <f t="shared" si="40"/>
        <v>0</v>
      </c>
    </row>
    <row r="71" spans="2:41" x14ac:dyDescent="0.3">
      <c r="B71" s="33"/>
      <c r="C71" s="29"/>
      <c r="D71" s="34"/>
      <c r="E71" s="29"/>
      <c r="F71" s="36"/>
      <c r="G71" s="29"/>
      <c r="H71" s="36"/>
      <c r="J71" s="3" t="s">
        <v>40</v>
      </c>
      <c r="K71" s="7">
        <v>0</v>
      </c>
      <c r="L71" s="11">
        <f t="shared" si="41"/>
        <v>0</v>
      </c>
      <c r="M71" s="7">
        <v>0</v>
      </c>
      <c r="N71" s="11">
        <f t="shared" si="31"/>
        <v>0</v>
      </c>
      <c r="O71" s="59">
        <v>0</v>
      </c>
      <c r="P71" s="25">
        <f t="shared" si="32"/>
        <v>0</v>
      </c>
      <c r="Q71" s="34"/>
      <c r="R71" s="3" t="s">
        <v>40</v>
      </c>
      <c r="S71" s="7">
        <v>0</v>
      </c>
      <c r="T71" s="11">
        <f t="shared" si="33"/>
        <v>0</v>
      </c>
      <c r="U71" s="7">
        <v>0</v>
      </c>
      <c r="V71" s="11">
        <f t="shared" si="34"/>
        <v>0</v>
      </c>
      <c r="W71" s="7">
        <v>0</v>
      </c>
      <c r="X71" s="25">
        <f t="shared" si="35"/>
        <v>0</v>
      </c>
      <c r="Y71" s="34"/>
      <c r="AA71" s="3" t="s">
        <v>40</v>
      </c>
      <c r="AB71" s="7">
        <v>0</v>
      </c>
      <c r="AC71" s="11">
        <f t="shared" si="42"/>
        <v>0</v>
      </c>
      <c r="AD71" s="7">
        <v>0</v>
      </c>
      <c r="AE71" s="11">
        <f t="shared" si="36"/>
        <v>0</v>
      </c>
      <c r="AF71" s="7">
        <v>0</v>
      </c>
      <c r="AG71" s="13">
        <f t="shared" si="37"/>
        <v>0</v>
      </c>
      <c r="AI71" s="3" t="s">
        <v>40</v>
      </c>
      <c r="AJ71" s="7">
        <v>0</v>
      </c>
      <c r="AK71" s="11">
        <f t="shared" si="38"/>
        <v>0</v>
      </c>
      <c r="AL71" s="7">
        <v>1</v>
      </c>
      <c r="AM71" s="11">
        <f t="shared" si="39"/>
        <v>0.1</v>
      </c>
      <c r="AN71" s="7">
        <v>0</v>
      </c>
      <c r="AO71" s="13">
        <f t="shared" si="40"/>
        <v>0</v>
      </c>
    </row>
    <row r="72" spans="2:41" x14ac:dyDescent="0.3">
      <c r="B72" s="33"/>
      <c r="C72" s="29"/>
      <c r="D72" s="34"/>
      <c r="E72" s="29"/>
      <c r="F72" s="36"/>
      <c r="G72" s="29"/>
      <c r="H72" s="36"/>
      <c r="J72" s="3" t="s">
        <v>16</v>
      </c>
      <c r="K72" s="7">
        <v>0</v>
      </c>
      <c r="L72" s="11">
        <f t="shared" si="41"/>
        <v>0</v>
      </c>
      <c r="M72" s="7">
        <v>0</v>
      </c>
      <c r="N72" s="11">
        <f t="shared" si="31"/>
        <v>0</v>
      </c>
      <c r="O72" s="59">
        <v>0</v>
      </c>
      <c r="P72" s="25">
        <f t="shared" si="32"/>
        <v>0</v>
      </c>
      <c r="Q72" s="34"/>
      <c r="R72" s="3" t="s">
        <v>16</v>
      </c>
      <c r="S72" s="7">
        <v>0</v>
      </c>
      <c r="T72" s="11">
        <f t="shared" si="33"/>
        <v>0</v>
      </c>
      <c r="U72" s="7">
        <v>0</v>
      </c>
      <c r="V72" s="11">
        <f t="shared" si="34"/>
        <v>0</v>
      </c>
      <c r="W72" s="7">
        <v>0</v>
      </c>
      <c r="X72" s="25">
        <f t="shared" si="35"/>
        <v>0</v>
      </c>
      <c r="Y72" s="34"/>
      <c r="AA72" s="3" t="s">
        <v>16</v>
      </c>
      <c r="AB72" s="7">
        <v>0</v>
      </c>
      <c r="AC72" s="11">
        <f t="shared" si="42"/>
        <v>0</v>
      </c>
      <c r="AD72" s="7">
        <v>0</v>
      </c>
      <c r="AE72" s="11">
        <f t="shared" si="36"/>
        <v>0</v>
      </c>
      <c r="AF72" s="7">
        <v>0</v>
      </c>
      <c r="AG72" s="13">
        <f t="shared" si="37"/>
        <v>0</v>
      </c>
      <c r="AI72" s="3" t="s">
        <v>16</v>
      </c>
      <c r="AJ72" s="7">
        <v>0</v>
      </c>
      <c r="AK72" s="11">
        <f t="shared" si="38"/>
        <v>0</v>
      </c>
      <c r="AL72" s="7">
        <v>0</v>
      </c>
      <c r="AM72" s="11">
        <f t="shared" si="39"/>
        <v>0</v>
      </c>
      <c r="AN72" s="7">
        <v>0</v>
      </c>
      <c r="AO72" s="13">
        <f t="shared" si="40"/>
        <v>0</v>
      </c>
    </row>
    <row r="73" spans="2:41" x14ac:dyDescent="0.3">
      <c r="B73" s="33"/>
      <c r="C73" s="29"/>
      <c r="D73" s="34"/>
      <c r="E73" s="29"/>
      <c r="F73" s="36"/>
      <c r="G73" s="29"/>
      <c r="H73" s="36"/>
      <c r="J73" s="3" t="s">
        <v>17</v>
      </c>
      <c r="K73" s="7">
        <v>0</v>
      </c>
      <c r="L73" s="11">
        <f t="shared" si="41"/>
        <v>0</v>
      </c>
      <c r="M73" s="7">
        <v>0</v>
      </c>
      <c r="N73" s="11">
        <f t="shared" si="31"/>
        <v>0</v>
      </c>
      <c r="O73" s="59">
        <v>0</v>
      </c>
      <c r="P73" s="25">
        <f t="shared" si="32"/>
        <v>0</v>
      </c>
      <c r="Q73" s="34"/>
      <c r="R73" s="3" t="s">
        <v>17</v>
      </c>
      <c r="S73" s="7">
        <v>0</v>
      </c>
      <c r="T73" s="11">
        <f t="shared" si="33"/>
        <v>0</v>
      </c>
      <c r="U73" s="7">
        <v>0</v>
      </c>
      <c r="V73" s="11">
        <f t="shared" si="34"/>
        <v>0</v>
      </c>
      <c r="W73" s="7">
        <v>0</v>
      </c>
      <c r="X73" s="25">
        <f t="shared" si="35"/>
        <v>0</v>
      </c>
      <c r="Y73" s="34"/>
      <c r="AA73" s="3" t="s">
        <v>17</v>
      </c>
      <c r="AB73" s="7">
        <v>0</v>
      </c>
      <c r="AC73" s="11">
        <f t="shared" si="42"/>
        <v>0</v>
      </c>
      <c r="AD73" s="7">
        <v>0</v>
      </c>
      <c r="AE73" s="11">
        <f t="shared" si="36"/>
        <v>0</v>
      </c>
      <c r="AF73" s="7">
        <v>0</v>
      </c>
      <c r="AG73" s="13">
        <f t="shared" si="37"/>
        <v>0</v>
      </c>
      <c r="AI73" s="3" t="s">
        <v>17</v>
      </c>
      <c r="AJ73" s="7">
        <v>0</v>
      </c>
      <c r="AK73" s="11">
        <f t="shared" si="38"/>
        <v>0</v>
      </c>
      <c r="AL73" s="7">
        <v>0</v>
      </c>
      <c r="AM73" s="11">
        <f t="shared" si="39"/>
        <v>0</v>
      </c>
      <c r="AN73" s="7">
        <v>0</v>
      </c>
      <c r="AO73" s="13">
        <f t="shared" si="40"/>
        <v>0</v>
      </c>
    </row>
    <row r="74" spans="2:41" x14ac:dyDescent="0.3">
      <c r="B74" s="33"/>
      <c r="C74" s="29"/>
      <c r="D74" s="34"/>
      <c r="E74" s="29"/>
      <c r="F74" s="36"/>
      <c r="G74" s="29"/>
      <c r="H74" s="36"/>
      <c r="J74" s="2" t="s">
        <v>41</v>
      </c>
      <c r="K74" s="7">
        <v>110</v>
      </c>
      <c r="L74" s="11">
        <f t="shared" si="41"/>
        <v>0.12775842044134728</v>
      </c>
      <c r="M74" s="7">
        <v>3</v>
      </c>
      <c r="N74" s="11">
        <f t="shared" si="31"/>
        <v>0.375</v>
      </c>
      <c r="O74" s="59">
        <v>6</v>
      </c>
      <c r="P74" s="25">
        <f t="shared" si="32"/>
        <v>0.33333333333333331</v>
      </c>
      <c r="Q74" s="35"/>
      <c r="R74" s="2" t="s">
        <v>41</v>
      </c>
      <c r="S74" s="7">
        <v>74</v>
      </c>
      <c r="T74" s="11">
        <f t="shared" si="33"/>
        <v>0.12869565217391304</v>
      </c>
      <c r="U74" s="66">
        <v>1</v>
      </c>
      <c r="V74" s="11">
        <f t="shared" si="34"/>
        <v>4.7619047619047616E-2</v>
      </c>
      <c r="W74" s="7">
        <v>2</v>
      </c>
      <c r="X74" s="25">
        <f t="shared" si="35"/>
        <v>0.25</v>
      </c>
      <c r="Y74" s="35"/>
      <c r="AA74" s="2" t="s">
        <v>41</v>
      </c>
      <c r="AB74" s="7">
        <v>17</v>
      </c>
      <c r="AC74" s="11">
        <f>AB74/$AB$76</f>
        <v>0.12781954887218044</v>
      </c>
      <c r="AD74" s="7">
        <v>0</v>
      </c>
      <c r="AE74" s="11">
        <f t="shared" si="36"/>
        <v>0</v>
      </c>
      <c r="AF74" s="7">
        <v>2</v>
      </c>
      <c r="AG74" s="13">
        <f t="shared" si="37"/>
        <v>5.7142857142857141E-2</v>
      </c>
      <c r="AI74" s="2" t="s">
        <v>41</v>
      </c>
      <c r="AJ74" s="7">
        <v>98</v>
      </c>
      <c r="AK74" s="11">
        <f t="shared" si="38"/>
        <v>0.12810457516339868</v>
      </c>
      <c r="AL74" s="7">
        <v>0</v>
      </c>
      <c r="AM74" s="11">
        <f t="shared" si="39"/>
        <v>0</v>
      </c>
      <c r="AN74" s="7">
        <v>3</v>
      </c>
      <c r="AO74" s="13">
        <f t="shared" si="40"/>
        <v>0.33333333333333331</v>
      </c>
    </row>
    <row r="75" spans="2:41" ht="15" thickBot="1" x14ac:dyDescent="0.35">
      <c r="B75" s="33"/>
      <c r="C75" s="29"/>
      <c r="D75" s="34"/>
      <c r="E75" s="29"/>
      <c r="F75" s="36"/>
      <c r="G75" s="29"/>
      <c r="H75" s="36"/>
      <c r="J75" s="30" t="s">
        <v>10</v>
      </c>
      <c r="K75" s="6">
        <v>40</v>
      </c>
      <c r="L75" s="39">
        <f t="shared" si="41"/>
        <v>4.6457607433217189E-2</v>
      </c>
      <c r="M75" s="6">
        <v>2</v>
      </c>
      <c r="N75" s="12">
        <f>M75/$M$76</f>
        <v>0.25</v>
      </c>
      <c r="O75" s="61">
        <v>0</v>
      </c>
      <c r="P75" s="54">
        <f>O75/$O$76</f>
        <v>0</v>
      </c>
      <c r="Q75" s="35"/>
      <c r="R75" s="30" t="s">
        <v>10</v>
      </c>
      <c r="S75" s="6">
        <v>27</v>
      </c>
      <c r="T75" s="39">
        <f>S75/$S$76</f>
        <v>4.6956521739130432E-2</v>
      </c>
      <c r="U75" s="6">
        <v>3</v>
      </c>
      <c r="V75" s="12">
        <f>U75/$U$76</f>
        <v>0.14285714285714285</v>
      </c>
      <c r="W75" s="6">
        <v>0</v>
      </c>
      <c r="X75" s="54">
        <f>W75/$W$76</f>
        <v>0</v>
      </c>
      <c r="Y75" s="35"/>
      <c r="AA75" s="30" t="s">
        <v>10</v>
      </c>
      <c r="AB75" s="6">
        <v>6</v>
      </c>
      <c r="AC75" s="39">
        <f>AB75/$AB$76</f>
        <v>4.5112781954887216E-2</v>
      </c>
      <c r="AD75" s="6">
        <v>2</v>
      </c>
      <c r="AE75" s="12">
        <f>AD75/$AD$76</f>
        <v>0.16666666666666666</v>
      </c>
      <c r="AF75" s="6">
        <v>3</v>
      </c>
      <c r="AG75" s="54">
        <f>AF75/$AF$76</f>
        <v>8.5714285714285715E-2</v>
      </c>
      <c r="AI75" s="30" t="s">
        <v>10</v>
      </c>
      <c r="AJ75" s="6">
        <v>36</v>
      </c>
      <c r="AK75" s="39">
        <f>AJ75/$AJ$76</f>
        <v>4.7058823529411764E-2</v>
      </c>
      <c r="AL75" s="6">
        <v>1</v>
      </c>
      <c r="AM75" s="12">
        <f>AL75/$AL$76</f>
        <v>0.1</v>
      </c>
      <c r="AN75" s="6">
        <v>2</v>
      </c>
      <c r="AO75" s="54">
        <f>AN75/$AN$76</f>
        <v>0.22222222222222221</v>
      </c>
    </row>
    <row r="76" spans="2:41" ht="15" thickBot="1" x14ac:dyDescent="0.35">
      <c r="B76" s="29"/>
      <c r="C76" s="29"/>
      <c r="D76" s="29"/>
      <c r="E76" s="29"/>
      <c r="F76" s="29"/>
      <c r="G76" s="29"/>
      <c r="H76" s="29"/>
      <c r="J76" s="5" t="s">
        <v>25</v>
      </c>
      <c r="K76" s="92">
        <f>SUM(K48:K75)</f>
        <v>861</v>
      </c>
      <c r="L76" s="103"/>
      <c r="M76" s="111">
        <f>SUM(M48:M75)</f>
        <v>8</v>
      </c>
      <c r="N76" s="103"/>
      <c r="O76" s="111">
        <f>SUM(O48:O75)</f>
        <v>18</v>
      </c>
      <c r="P76" s="103"/>
      <c r="Q76" s="29"/>
      <c r="R76" s="5" t="s">
        <v>25</v>
      </c>
      <c r="S76" s="92">
        <f>SUM(S48:S75)</f>
        <v>575</v>
      </c>
      <c r="T76" s="103"/>
      <c r="U76" s="111">
        <f>SUM(U48:U75)</f>
        <v>21</v>
      </c>
      <c r="V76" s="103"/>
      <c r="W76" s="111">
        <f>SUM(W48:W75)</f>
        <v>8</v>
      </c>
      <c r="X76" s="103"/>
      <c r="Y76" s="29"/>
      <c r="AA76" s="5" t="s">
        <v>25</v>
      </c>
      <c r="AB76" s="92">
        <f>SUM(AB48:AB75)</f>
        <v>133</v>
      </c>
      <c r="AC76" s="103"/>
      <c r="AD76" s="111">
        <f>SUM(AD48:AD75)</f>
        <v>12</v>
      </c>
      <c r="AE76" s="103"/>
      <c r="AF76" s="111">
        <f>SUM(AF48:AF75)</f>
        <v>35</v>
      </c>
      <c r="AG76" s="103"/>
      <c r="AI76" s="5" t="s">
        <v>25</v>
      </c>
      <c r="AJ76" s="92">
        <f>SUM(AJ48:AJ75)</f>
        <v>765</v>
      </c>
      <c r="AK76" s="103"/>
      <c r="AL76" s="111">
        <f>SUM(AL48:AL75)</f>
        <v>10</v>
      </c>
      <c r="AM76" s="103"/>
      <c r="AN76" s="111">
        <f>SUM(AN48:AN75)</f>
        <v>9</v>
      </c>
      <c r="AO76" s="103"/>
    </row>
    <row r="77" spans="2:41" ht="15" thickBot="1" x14ac:dyDescent="0.35">
      <c r="J77" s="19" t="s">
        <v>26</v>
      </c>
      <c r="K77" s="112">
        <f>K76/($K$76+$M$76+$O$76)</f>
        <v>0.97068771138669674</v>
      </c>
      <c r="L77" s="113"/>
      <c r="M77" s="112">
        <f>M76/($K$76+$M$76+$O$76)</f>
        <v>9.0191657271702363E-3</v>
      </c>
      <c r="N77" s="113"/>
      <c r="O77" s="112">
        <f>O76/($K$76+$M$76+$O$76)</f>
        <v>2.0293122886133032E-2</v>
      </c>
      <c r="P77" s="113"/>
      <c r="Q77" s="37"/>
      <c r="R77" s="19" t="s">
        <v>26</v>
      </c>
      <c r="S77" s="112">
        <f>S76/($S$76+$U$76+$W$76)</f>
        <v>0.95198675496688745</v>
      </c>
      <c r="T77" s="103"/>
      <c r="U77" s="112">
        <f>U76/($S$76+$U$76+$W$76)</f>
        <v>3.4768211920529798E-2</v>
      </c>
      <c r="V77" s="103"/>
      <c r="W77" s="112">
        <f>W76/($S$76+$U$76+$W$76)</f>
        <v>1.3245033112582781E-2</v>
      </c>
      <c r="X77" s="116"/>
      <c r="Y77" s="37"/>
      <c r="AA77" s="19" t="s">
        <v>26</v>
      </c>
      <c r="AB77" s="112">
        <f>AB76/($AB$76+$AD$76+$AF$76)</f>
        <v>0.73888888888888893</v>
      </c>
      <c r="AC77" s="103"/>
      <c r="AD77" s="112">
        <f>AD76/($AB$76+$AD$76+$AF$76)</f>
        <v>6.6666666666666666E-2</v>
      </c>
      <c r="AE77" s="103"/>
      <c r="AF77" s="112">
        <f>AF76/($AB$76+$AD$76+$AF$76)</f>
        <v>0.19444444444444445</v>
      </c>
      <c r="AG77" s="116"/>
      <c r="AI77" s="19" t="s">
        <v>26</v>
      </c>
      <c r="AJ77" s="112">
        <f>AJ76/($AJ$76+$AL$76+$AN$76)</f>
        <v>0.97576530612244894</v>
      </c>
      <c r="AK77" s="103"/>
      <c r="AL77" s="112">
        <f t="shared" ref="AL77" si="43">AL76/($AJ$76+$AL$76+$AN$76)</f>
        <v>1.2755102040816327E-2</v>
      </c>
      <c r="AM77" s="103"/>
      <c r="AN77" s="112">
        <f t="shared" ref="AN77" si="44">AN76/($AJ$76+$AL$76+$AN$76)</f>
        <v>1.1479591836734694E-2</v>
      </c>
      <c r="AO77" s="103"/>
    </row>
    <row r="78" spans="2:41" ht="15" thickBot="1" x14ac:dyDescent="0.35">
      <c r="J78" s="20" t="s">
        <v>23</v>
      </c>
      <c r="K78" s="117">
        <v>0.85</v>
      </c>
      <c r="L78" s="118"/>
      <c r="M78" s="117">
        <v>0.1</v>
      </c>
      <c r="N78" s="118"/>
      <c r="O78" s="117">
        <v>0.05</v>
      </c>
      <c r="P78" s="118"/>
      <c r="Q78" s="29"/>
      <c r="R78" s="20" t="s">
        <v>23</v>
      </c>
      <c r="S78" s="117">
        <v>0.85</v>
      </c>
      <c r="T78" s="118"/>
      <c r="U78" s="117">
        <v>0.1</v>
      </c>
      <c r="V78" s="118"/>
      <c r="W78" s="117">
        <v>0.05</v>
      </c>
      <c r="X78" s="118"/>
      <c r="Y78" s="29"/>
      <c r="AA78" s="20" t="s">
        <v>23</v>
      </c>
      <c r="AB78" s="117">
        <v>0.85</v>
      </c>
      <c r="AC78" s="118"/>
      <c r="AD78" s="117">
        <v>0.1</v>
      </c>
      <c r="AE78" s="118"/>
      <c r="AF78" s="117">
        <v>0.05</v>
      </c>
      <c r="AG78" s="118"/>
      <c r="AI78" s="20" t="s">
        <v>23</v>
      </c>
      <c r="AJ78" s="117">
        <v>0.85</v>
      </c>
      <c r="AK78" s="118"/>
      <c r="AL78" s="117">
        <v>0.1</v>
      </c>
      <c r="AM78" s="118"/>
      <c r="AN78" s="117">
        <v>0.05</v>
      </c>
      <c r="AO78" s="118"/>
    </row>
    <row r="79" spans="2:41" ht="15" thickBot="1" x14ac:dyDescent="0.35">
      <c r="J79" s="21" t="s">
        <v>24</v>
      </c>
      <c r="K79" s="102">
        <f>K77-K78</f>
        <v>0.12068771138669676</v>
      </c>
      <c r="L79" s="103"/>
      <c r="M79" s="102">
        <f>M78-M77</f>
        <v>9.0980834272829769E-2</v>
      </c>
      <c r="N79" s="103"/>
      <c r="O79" s="102">
        <f>O78-O77</f>
        <v>2.9706877113866971E-2</v>
      </c>
      <c r="P79" s="103"/>
      <c r="Q79" s="29"/>
      <c r="R79" s="21" t="s">
        <v>24</v>
      </c>
      <c r="S79" s="119">
        <f>S77-S78</f>
        <v>0.10198675496688747</v>
      </c>
      <c r="T79" s="120"/>
      <c r="U79" s="119">
        <f>U78-U77</f>
        <v>6.5231788079470207E-2</v>
      </c>
      <c r="V79" s="120"/>
      <c r="W79" s="119">
        <f>W78-W77</f>
        <v>3.6754966887417223E-2</v>
      </c>
      <c r="X79" s="120"/>
      <c r="Y79" s="29"/>
      <c r="AA79" s="21" t="s">
        <v>24</v>
      </c>
      <c r="AB79" s="121">
        <f>AB77-AB78</f>
        <v>-0.11111111111111105</v>
      </c>
      <c r="AC79" s="122"/>
      <c r="AD79" s="119">
        <f>AD78-AD77</f>
        <v>3.333333333333334E-2</v>
      </c>
      <c r="AE79" s="120"/>
      <c r="AF79" s="121">
        <f>AF78-AF77</f>
        <v>-0.14444444444444443</v>
      </c>
      <c r="AG79" s="122"/>
      <c r="AI79" s="21" t="s">
        <v>24</v>
      </c>
      <c r="AJ79" s="119">
        <f>AJ77-AJ78</f>
        <v>0.12576530612244896</v>
      </c>
      <c r="AK79" s="120"/>
      <c r="AL79" s="119">
        <f>AL78-AL77</f>
        <v>8.7244897959183679E-2</v>
      </c>
      <c r="AM79" s="120"/>
      <c r="AN79" s="119">
        <f>AN78-AN77</f>
        <v>3.852040816326531E-2</v>
      </c>
      <c r="AO79" s="120"/>
    </row>
  </sheetData>
  <mergeCells count="248">
    <mergeCell ref="CK15:CL15"/>
    <mergeCell ref="CM15:CN15"/>
    <mergeCell ref="CO15:CP15"/>
    <mergeCell ref="CK16:CL16"/>
    <mergeCell ref="CM16:CN16"/>
    <mergeCell ref="CO16:CP16"/>
    <mergeCell ref="CO18:CP18"/>
    <mergeCell ref="CK3:CL3"/>
    <mergeCell ref="CM3:CN3"/>
    <mergeCell ref="CO3:CP3"/>
    <mergeCell ref="CK13:CL13"/>
    <mergeCell ref="CM13:CN13"/>
    <mergeCell ref="CO13:CP13"/>
    <mergeCell ref="CK14:CL14"/>
    <mergeCell ref="CM14:CN14"/>
    <mergeCell ref="CO14:CP14"/>
    <mergeCell ref="BY18:BZ18"/>
    <mergeCell ref="BK16:BL16"/>
    <mergeCell ref="BM16:BN16"/>
    <mergeCell ref="BO16:BP16"/>
    <mergeCell ref="BO18:BP18"/>
    <mergeCell ref="BO3:BP3"/>
    <mergeCell ref="BK13:BL13"/>
    <mergeCell ref="BM13:BN13"/>
    <mergeCell ref="BO13:BP13"/>
    <mergeCell ref="BK14:BL14"/>
    <mergeCell ref="BM14:BN14"/>
    <mergeCell ref="BO14:BP14"/>
    <mergeCell ref="BK15:BL15"/>
    <mergeCell ref="BM15:BN15"/>
    <mergeCell ref="BO15:BP15"/>
    <mergeCell ref="AF3:AG3"/>
    <mergeCell ref="C3:D3"/>
    <mergeCell ref="E3:F3"/>
    <mergeCell ref="G3:H3"/>
    <mergeCell ref="K3:L3"/>
    <mergeCell ref="M3:N3"/>
    <mergeCell ref="O3:P3"/>
    <mergeCell ref="BK3:BL3"/>
    <mergeCell ref="BM3:BN3"/>
    <mergeCell ref="AD15:AE15"/>
    <mergeCell ref="AF15:AG15"/>
    <mergeCell ref="AJ15:AK15"/>
    <mergeCell ref="AZ3:BA3"/>
    <mergeCell ref="BB3:BC3"/>
    <mergeCell ref="BD3:BE3"/>
    <mergeCell ref="C15:D15"/>
    <mergeCell ref="E15:F15"/>
    <mergeCell ref="G15:H15"/>
    <mergeCell ref="K15:L15"/>
    <mergeCell ref="M15:N15"/>
    <mergeCell ref="O15:P15"/>
    <mergeCell ref="S15:T15"/>
    <mergeCell ref="AJ3:AK3"/>
    <mergeCell ref="AL3:AM3"/>
    <mergeCell ref="AN3:AO3"/>
    <mergeCell ref="AR3:AS3"/>
    <mergeCell ref="AT3:AU3"/>
    <mergeCell ref="AV3:AW3"/>
    <mergeCell ref="S3:T3"/>
    <mergeCell ref="U3:V3"/>
    <mergeCell ref="W3:X3"/>
    <mergeCell ref="AB3:AC3"/>
    <mergeCell ref="AD3:AE3"/>
    <mergeCell ref="AB16:AC16"/>
    <mergeCell ref="AD16:AE16"/>
    <mergeCell ref="AF16:AG16"/>
    <mergeCell ref="AJ16:AK16"/>
    <mergeCell ref="AL16:AM16"/>
    <mergeCell ref="BB15:BC15"/>
    <mergeCell ref="BD15:BE15"/>
    <mergeCell ref="C16:D16"/>
    <mergeCell ref="E16:F16"/>
    <mergeCell ref="G16:H16"/>
    <mergeCell ref="K16:L16"/>
    <mergeCell ref="M16:N16"/>
    <mergeCell ref="O16:P16"/>
    <mergeCell ref="S16:T16"/>
    <mergeCell ref="U16:V16"/>
    <mergeCell ref="AL15:AM15"/>
    <mergeCell ref="AN15:AO15"/>
    <mergeCell ref="AR15:AS15"/>
    <mergeCell ref="AT15:AU15"/>
    <mergeCell ref="AV15:AW15"/>
    <mergeCell ref="AZ15:BA15"/>
    <mergeCell ref="U15:V15"/>
    <mergeCell ref="W15:X15"/>
    <mergeCell ref="AB15:AC15"/>
    <mergeCell ref="BD17:BE17"/>
    <mergeCell ref="AB17:AC17"/>
    <mergeCell ref="AD17:AE17"/>
    <mergeCell ref="AF17:AG17"/>
    <mergeCell ref="AJ17:AK17"/>
    <mergeCell ref="AL17:AM17"/>
    <mergeCell ref="AN17:AO17"/>
    <mergeCell ref="BD16:BE16"/>
    <mergeCell ref="C17:D17"/>
    <mergeCell ref="E17:F17"/>
    <mergeCell ref="G17:H17"/>
    <mergeCell ref="K17:L17"/>
    <mergeCell ref="M17:N17"/>
    <mergeCell ref="O17:P17"/>
    <mergeCell ref="S17:T17"/>
    <mergeCell ref="U17:V17"/>
    <mergeCell ref="W17:X17"/>
    <mergeCell ref="AN16:AO16"/>
    <mergeCell ref="AR16:AS16"/>
    <mergeCell ref="AT16:AU16"/>
    <mergeCell ref="AV16:AW16"/>
    <mergeCell ref="AZ16:BA16"/>
    <mergeCell ref="BB16:BC16"/>
    <mergeCell ref="W16:X16"/>
    <mergeCell ref="G18:H18"/>
    <mergeCell ref="K18:L18"/>
    <mergeCell ref="M18:N18"/>
    <mergeCell ref="O18:P18"/>
    <mergeCell ref="AR17:AS17"/>
    <mergeCell ref="AT17:AU17"/>
    <mergeCell ref="AV17:AW17"/>
    <mergeCell ref="AZ17:BA17"/>
    <mergeCell ref="BB17:BC17"/>
    <mergeCell ref="AZ18:BA18"/>
    <mergeCell ref="BB18:BC18"/>
    <mergeCell ref="BD18:BE18"/>
    <mergeCell ref="G22:H22"/>
    <mergeCell ref="G36:H36"/>
    <mergeCell ref="C47:D47"/>
    <mergeCell ref="E47:F47"/>
    <mergeCell ref="G47:H47"/>
    <mergeCell ref="K47:L47"/>
    <mergeCell ref="M47:N47"/>
    <mergeCell ref="AJ18:AK18"/>
    <mergeCell ref="AL18:AM18"/>
    <mergeCell ref="AN18:AO18"/>
    <mergeCell ref="AR18:AS18"/>
    <mergeCell ref="AT18:AU18"/>
    <mergeCell ref="AV18:AW18"/>
    <mergeCell ref="S18:T18"/>
    <mergeCell ref="U18:V18"/>
    <mergeCell ref="W18:X18"/>
    <mergeCell ref="AB18:AC18"/>
    <mergeCell ref="AD18:AE18"/>
    <mergeCell ref="AF18:AG18"/>
    <mergeCell ref="C18:D18"/>
    <mergeCell ref="E18:F18"/>
    <mergeCell ref="AF47:AG47"/>
    <mergeCell ref="AJ47:AK47"/>
    <mergeCell ref="AL47:AM47"/>
    <mergeCell ref="AN47:AO47"/>
    <mergeCell ref="C59:D59"/>
    <mergeCell ref="E59:F59"/>
    <mergeCell ref="G59:H59"/>
    <mergeCell ref="O47:P47"/>
    <mergeCell ref="S47:T47"/>
    <mergeCell ref="U47:V47"/>
    <mergeCell ref="W47:X47"/>
    <mergeCell ref="AB47:AC47"/>
    <mergeCell ref="AD47:AE47"/>
    <mergeCell ref="C62:D62"/>
    <mergeCell ref="E62:F62"/>
    <mergeCell ref="G62:H62"/>
    <mergeCell ref="K76:L76"/>
    <mergeCell ref="M76:N76"/>
    <mergeCell ref="O76:P76"/>
    <mergeCell ref="C60:D60"/>
    <mergeCell ref="E60:F60"/>
    <mergeCell ref="G60:H60"/>
    <mergeCell ref="C61:D61"/>
    <mergeCell ref="E61:F61"/>
    <mergeCell ref="G61:H61"/>
    <mergeCell ref="AL78:AM78"/>
    <mergeCell ref="AJ76:AK76"/>
    <mergeCell ref="AL76:AM76"/>
    <mergeCell ref="AN76:AO76"/>
    <mergeCell ref="K77:L77"/>
    <mergeCell ref="M77:N77"/>
    <mergeCell ref="O77:P77"/>
    <mergeCell ref="S77:T77"/>
    <mergeCell ref="U77:V77"/>
    <mergeCell ref="W77:X77"/>
    <mergeCell ref="AB77:AC77"/>
    <mergeCell ref="S76:T76"/>
    <mergeCell ref="U76:V76"/>
    <mergeCell ref="W76:X76"/>
    <mergeCell ref="AB76:AC76"/>
    <mergeCell ref="AD76:AE76"/>
    <mergeCell ref="AF76:AG76"/>
    <mergeCell ref="AD77:AE77"/>
    <mergeCell ref="AF77:AG77"/>
    <mergeCell ref="AJ77:AK77"/>
    <mergeCell ref="AL77:AM77"/>
    <mergeCell ref="AN77:AO77"/>
    <mergeCell ref="BD19:BE19"/>
    <mergeCell ref="K78:L78"/>
    <mergeCell ref="M78:N78"/>
    <mergeCell ref="O78:P78"/>
    <mergeCell ref="S78:T78"/>
    <mergeCell ref="U78:V78"/>
    <mergeCell ref="AJ79:AK79"/>
    <mergeCell ref="AL79:AM79"/>
    <mergeCell ref="AN79:AO79"/>
    <mergeCell ref="AN78:AO78"/>
    <mergeCell ref="K79:L79"/>
    <mergeCell ref="M79:N79"/>
    <mergeCell ref="O79:P79"/>
    <mergeCell ref="S79:T79"/>
    <mergeCell ref="U79:V79"/>
    <mergeCell ref="W79:X79"/>
    <mergeCell ref="AB79:AC79"/>
    <mergeCell ref="AD79:AE79"/>
    <mergeCell ref="AF79:AG79"/>
    <mergeCell ref="W78:X78"/>
    <mergeCell ref="AB78:AC78"/>
    <mergeCell ref="AD78:AE78"/>
    <mergeCell ref="AF78:AG78"/>
    <mergeCell ref="AJ78:AK78"/>
    <mergeCell ref="CC15:CD15"/>
    <mergeCell ref="CE15:CF15"/>
    <mergeCell ref="CG15:CH15"/>
    <mergeCell ref="CC16:CD16"/>
    <mergeCell ref="CE16:CF16"/>
    <mergeCell ref="CG16:CH16"/>
    <mergeCell ref="CG18:CH18"/>
    <mergeCell ref="CC3:CD3"/>
    <mergeCell ref="CE3:CF3"/>
    <mergeCell ref="CG3:CH3"/>
    <mergeCell ref="CC13:CD13"/>
    <mergeCell ref="CE13:CF13"/>
    <mergeCell ref="CG13:CH13"/>
    <mergeCell ref="CC14:CD14"/>
    <mergeCell ref="CE14:CF14"/>
    <mergeCell ref="CG14:CH14"/>
    <mergeCell ref="CS15:CT15"/>
    <mergeCell ref="CU15:CV15"/>
    <mergeCell ref="CW15:CX15"/>
    <mergeCell ref="CS16:CT16"/>
    <mergeCell ref="CU16:CV16"/>
    <mergeCell ref="CW16:CX16"/>
    <mergeCell ref="CW18:CX18"/>
    <mergeCell ref="CS3:CT3"/>
    <mergeCell ref="CU3:CV3"/>
    <mergeCell ref="CW3:CX3"/>
    <mergeCell ref="CS13:CT13"/>
    <mergeCell ref="CU13:CV13"/>
    <mergeCell ref="CW13:CX13"/>
    <mergeCell ref="CS14:CT14"/>
    <mergeCell ref="CU14:CV14"/>
    <mergeCell ref="CW14:CX14"/>
  </mergeCells>
  <conditionalFormatting sqref="C18 E18 G18">
    <cfRule type="cellIs" dxfId="109" priority="53" operator="lessThan">
      <formula>0</formula>
    </cfRule>
  </conditionalFormatting>
  <conditionalFormatting sqref="C62:D62">
    <cfRule type="cellIs" dxfId="108" priority="52" operator="lessThan">
      <formula>0</formula>
    </cfRule>
  </conditionalFormatting>
  <conditionalFormatting sqref="E62:F62">
    <cfRule type="cellIs" dxfId="107" priority="51" operator="lessThan">
      <formula>0</formula>
    </cfRule>
  </conditionalFormatting>
  <conditionalFormatting sqref="G62:H62">
    <cfRule type="cellIs" dxfId="106" priority="50" operator="lessThan">
      <formula>0</formula>
    </cfRule>
  </conditionalFormatting>
  <conditionalFormatting sqref="G62:H62">
    <cfRule type="cellIs" dxfId="105" priority="49" operator="lessThan">
      <formula>0</formula>
    </cfRule>
  </conditionalFormatting>
  <conditionalFormatting sqref="S18:T18">
    <cfRule type="cellIs" dxfId="104" priority="48" operator="lessThan">
      <formula>0</formula>
    </cfRule>
  </conditionalFormatting>
  <conditionalFormatting sqref="U18:V18">
    <cfRule type="cellIs" dxfId="103" priority="47" operator="lessThan">
      <formula>0</formula>
    </cfRule>
  </conditionalFormatting>
  <conditionalFormatting sqref="W18:X18">
    <cfRule type="cellIs" dxfId="102" priority="46" operator="lessThan">
      <formula>0</formula>
    </cfRule>
  </conditionalFormatting>
  <conditionalFormatting sqref="W18:X18">
    <cfRule type="cellIs" dxfId="101" priority="45" operator="lessThan">
      <formula>0</formula>
    </cfRule>
  </conditionalFormatting>
  <conditionalFormatting sqref="AF18:AG18">
    <cfRule type="cellIs" dxfId="100" priority="44" operator="lessThan">
      <formula>0</formula>
    </cfRule>
  </conditionalFormatting>
  <conditionalFormatting sqref="AF18:AG18">
    <cfRule type="cellIs" dxfId="99" priority="43" operator="lessThan">
      <formula>0</formula>
    </cfRule>
  </conditionalFormatting>
  <conditionalFormatting sqref="AD18:AE18">
    <cfRule type="cellIs" dxfId="98" priority="42" operator="lessThan">
      <formula>0</formula>
    </cfRule>
  </conditionalFormatting>
  <conditionalFormatting sqref="AB18:AC18">
    <cfRule type="cellIs" dxfId="97" priority="41" operator="lessThan">
      <formula>0</formula>
    </cfRule>
  </conditionalFormatting>
  <conditionalFormatting sqref="K18:L18">
    <cfRule type="cellIs" dxfId="96" priority="40" operator="lessThan">
      <formula>0</formula>
    </cfRule>
  </conditionalFormatting>
  <conditionalFormatting sqref="C18:D18">
    <cfRule type="cellIs" dxfId="95" priority="39" operator="lessThan">
      <formula>0</formula>
    </cfRule>
  </conditionalFormatting>
  <conditionalFormatting sqref="E18:F18">
    <cfRule type="cellIs" dxfId="94" priority="38" operator="lessThan">
      <formula>0</formula>
    </cfRule>
  </conditionalFormatting>
  <conditionalFormatting sqref="M18:N18">
    <cfRule type="cellIs" dxfId="93" priority="37" operator="lessThan">
      <formula>0</formula>
    </cfRule>
  </conditionalFormatting>
  <conditionalFormatting sqref="G18:H18">
    <cfRule type="cellIs" dxfId="92" priority="36" operator="lessThan">
      <formula>0</formula>
    </cfRule>
  </conditionalFormatting>
  <conditionalFormatting sqref="G18:H18">
    <cfRule type="cellIs" dxfId="91" priority="35" operator="lessThan">
      <formula>0</formula>
    </cfRule>
  </conditionalFormatting>
  <conditionalFormatting sqref="O18:P18">
    <cfRule type="cellIs" dxfId="90" priority="34" operator="lessThan">
      <formula>0</formula>
    </cfRule>
  </conditionalFormatting>
  <conditionalFormatting sqref="O18:P18">
    <cfRule type="cellIs" dxfId="89" priority="33" operator="lessThan">
      <formula>0</formula>
    </cfRule>
  </conditionalFormatting>
  <conditionalFormatting sqref="K79:L79">
    <cfRule type="cellIs" dxfId="88" priority="32" operator="lessThan">
      <formula>0</formula>
    </cfRule>
  </conditionalFormatting>
  <conditionalFormatting sqref="M79:N79">
    <cfRule type="cellIs" dxfId="87" priority="31" operator="lessThan">
      <formula>0</formula>
    </cfRule>
  </conditionalFormatting>
  <conditionalFormatting sqref="O79:P79">
    <cfRule type="cellIs" dxfId="86" priority="30" operator="lessThan">
      <formula>0</formula>
    </cfRule>
  </conditionalFormatting>
  <conditionalFormatting sqref="O79:P79">
    <cfRule type="cellIs" dxfId="85" priority="29" operator="lessThan">
      <formula>0</formula>
    </cfRule>
  </conditionalFormatting>
  <conditionalFormatting sqref="AN18:AO18">
    <cfRule type="cellIs" dxfId="84" priority="28" operator="lessThan">
      <formula>0</formula>
    </cfRule>
  </conditionalFormatting>
  <conditionalFormatting sqref="AN18:AO18">
    <cfRule type="cellIs" dxfId="83" priority="27" operator="lessThan">
      <formula>0</formula>
    </cfRule>
  </conditionalFormatting>
  <conditionalFormatting sqref="AL18:AM18">
    <cfRule type="cellIs" dxfId="82" priority="26" operator="lessThan">
      <formula>0</formula>
    </cfRule>
  </conditionalFormatting>
  <conditionalFormatting sqref="AJ18:AK18">
    <cfRule type="cellIs" dxfId="81" priority="25" operator="lessThan">
      <formula>0</formula>
    </cfRule>
  </conditionalFormatting>
  <conditionalFormatting sqref="AV18:AW18">
    <cfRule type="cellIs" dxfId="80" priority="24" operator="lessThan">
      <formula>0</formula>
    </cfRule>
  </conditionalFormatting>
  <conditionalFormatting sqref="AV18:AW18">
    <cfRule type="cellIs" dxfId="79" priority="23" operator="lessThan">
      <formula>0</formula>
    </cfRule>
  </conditionalFormatting>
  <conditionalFormatting sqref="AT18:AU18">
    <cfRule type="cellIs" dxfId="78" priority="22" operator="lessThan">
      <formula>0</formula>
    </cfRule>
  </conditionalFormatting>
  <conditionalFormatting sqref="AR18:AS18">
    <cfRule type="cellIs" dxfId="77" priority="21" operator="lessThan">
      <formula>0</formula>
    </cfRule>
  </conditionalFormatting>
  <conditionalFormatting sqref="BD18:BE18">
    <cfRule type="cellIs" dxfId="76" priority="20" operator="lessThan">
      <formula>0</formula>
    </cfRule>
  </conditionalFormatting>
  <conditionalFormatting sqref="BD18:BE18">
    <cfRule type="cellIs" dxfId="75" priority="19" operator="lessThan">
      <formula>0</formula>
    </cfRule>
  </conditionalFormatting>
  <conditionalFormatting sqref="BB18:BC18">
    <cfRule type="cellIs" dxfId="74" priority="18" operator="lessThan">
      <formula>0</formula>
    </cfRule>
  </conditionalFormatting>
  <conditionalFormatting sqref="AZ18:BA18">
    <cfRule type="cellIs" dxfId="73" priority="17" operator="lessThan">
      <formula>0</formula>
    </cfRule>
  </conditionalFormatting>
  <conditionalFormatting sqref="BO16:BP16">
    <cfRule type="cellIs" dxfId="72" priority="16" operator="lessThan">
      <formula>0</formula>
    </cfRule>
  </conditionalFormatting>
  <conditionalFormatting sqref="BO16:BP16">
    <cfRule type="cellIs" dxfId="71" priority="15" operator="lessThan">
      <formula>0</formula>
    </cfRule>
  </conditionalFormatting>
  <conditionalFormatting sqref="BM16:BN16">
    <cfRule type="cellIs" dxfId="70" priority="14" operator="lessThan">
      <formula>0</formula>
    </cfRule>
  </conditionalFormatting>
  <conditionalFormatting sqref="BK16:BL16">
    <cfRule type="cellIs" dxfId="69" priority="13" operator="lessThan">
      <formula>0</formula>
    </cfRule>
  </conditionalFormatting>
  <conditionalFormatting sqref="CG16:CH16">
    <cfRule type="cellIs" dxfId="68" priority="12" operator="lessThan">
      <formula>0</formula>
    </cfRule>
  </conditionalFormatting>
  <conditionalFormatting sqref="CG16:CH16">
    <cfRule type="cellIs" dxfId="67" priority="11" operator="lessThan">
      <formula>0</formula>
    </cfRule>
  </conditionalFormatting>
  <conditionalFormatting sqref="CE16:CF16">
    <cfRule type="cellIs" dxfId="66" priority="10" operator="lessThan">
      <formula>0</formula>
    </cfRule>
  </conditionalFormatting>
  <conditionalFormatting sqref="CC16:CD16">
    <cfRule type="cellIs" dxfId="65" priority="9" operator="lessThan">
      <formula>0</formula>
    </cfRule>
  </conditionalFormatting>
  <conditionalFormatting sqref="CO16:CP16">
    <cfRule type="cellIs" dxfId="64" priority="8" operator="lessThan">
      <formula>0</formula>
    </cfRule>
  </conditionalFormatting>
  <conditionalFormatting sqref="CO16:CP16">
    <cfRule type="cellIs" dxfId="63" priority="7" operator="lessThan">
      <formula>0</formula>
    </cfRule>
  </conditionalFormatting>
  <conditionalFormatting sqref="CM16:CN16">
    <cfRule type="cellIs" dxfId="62" priority="6" operator="lessThan">
      <formula>0</formula>
    </cfRule>
  </conditionalFormatting>
  <conditionalFormatting sqref="CK16:CL16">
    <cfRule type="cellIs" dxfId="61" priority="5" operator="lessThan">
      <formula>0</formula>
    </cfRule>
  </conditionalFormatting>
  <conditionalFormatting sqref="CW16:CX16">
    <cfRule type="cellIs" dxfId="60" priority="4" operator="lessThan">
      <formula>0</formula>
    </cfRule>
  </conditionalFormatting>
  <conditionalFormatting sqref="CW16:CX16">
    <cfRule type="cellIs" dxfId="59" priority="3" operator="lessThan">
      <formula>0</formula>
    </cfRule>
  </conditionalFormatting>
  <conditionalFormatting sqref="CU16:CV16">
    <cfRule type="cellIs" dxfId="58" priority="2" operator="lessThan">
      <formula>0</formula>
    </cfRule>
  </conditionalFormatting>
  <conditionalFormatting sqref="CS16:CT16">
    <cfRule type="cellIs" dxfId="57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BE78"/>
  <sheetViews>
    <sheetView showGridLines="0" defaultGridColor="0" colorId="22" zoomScale="75" zoomScaleNormal="75" workbookViewId="0">
      <selection activeCell="AY29" sqref="AY29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</cols>
  <sheetData>
    <row r="1" spans="2:57" ht="3" customHeight="1" x14ac:dyDescent="0.25"/>
    <row r="2" spans="2:57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</row>
    <row r="3" spans="2:57" ht="15.75" thickBot="1" x14ac:dyDescent="0.3">
      <c r="B3" s="18" t="s">
        <v>22</v>
      </c>
      <c r="C3" s="86" t="s">
        <v>0</v>
      </c>
      <c r="D3" s="86"/>
      <c r="E3" s="86" t="s">
        <v>49</v>
      </c>
      <c r="F3" s="86"/>
      <c r="G3" s="87" t="s">
        <v>61</v>
      </c>
      <c r="H3" s="88"/>
      <c r="J3" s="18" t="s">
        <v>22</v>
      </c>
      <c r="K3" s="86" t="s">
        <v>0</v>
      </c>
      <c r="L3" s="86"/>
      <c r="M3" s="86" t="s">
        <v>49</v>
      </c>
      <c r="N3" s="86"/>
      <c r="O3" s="90" t="s">
        <v>63</v>
      </c>
      <c r="P3" s="91"/>
      <c r="Q3" s="55"/>
      <c r="R3" s="18" t="s">
        <v>22</v>
      </c>
      <c r="S3" s="86" t="s">
        <v>0</v>
      </c>
      <c r="T3" s="86"/>
      <c r="U3" s="86" t="s">
        <v>49</v>
      </c>
      <c r="V3" s="86"/>
      <c r="W3" s="87" t="s">
        <v>61</v>
      </c>
      <c r="X3" s="88"/>
      <c r="Y3" s="55"/>
      <c r="AA3" s="18" t="s">
        <v>22</v>
      </c>
      <c r="AB3" s="86" t="s">
        <v>0</v>
      </c>
      <c r="AC3" s="86"/>
      <c r="AD3" s="89" t="s">
        <v>49</v>
      </c>
      <c r="AE3" s="89"/>
      <c r="AF3" s="87" t="s">
        <v>61</v>
      </c>
      <c r="AG3" s="88"/>
      <c r="AI3" s="18" t="s">
        <v>22</v>
      </c>
      <c r="AJ3" s="86" t="s">
        <v>0</v>
      </c>
      <c r="AK3" s="86"/>
      <c r="AL3" s="89" t="s">
        <v>49</v>
      </c>
      <c r="AM3" s="89"/>
      <c r="AN3" s="87" t="s">
        <v>61</v>
      </c>
      <c r="AO3" s="88"/>
      <c r="AQ3" s="18" t="s">
        <v>22</v>
      </c>
      <c r="AR3" s="86" t="s">
        <v>0</v>
      </c>
      <c r="AS3" s="86"/>
      <c r="AT3" s="89" t="s">
        <v>49</v>
      </c>
      <c r="AU3" s="89"/>
      <c r="AV3" s="87" t="s">
        <v>61</v>
      </c>
      <c r="AW3" s="88"/>
      <c r="AY3" s="18" t="s">
        <v>22</v>
      </c>
      <c r="AZ3" s="86" t="s">
        <v>0</v>
      </c>
      <c r="BA3" s="86"/>
      <c r="BB3" s="89" t="s">
        <v>49</v>
      </c>
      <c r="BC3" s="89"/>
      <c r="BD3" s="87" t="s">
        <v>61</v>
      </c>
      <c r="BE3" s="88"/>
    </row>
    <row r="4" spans="2:57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2</v>
      </c>
      <c r="BE4" s="23">
        <f>BD4/$BD$15</f>
        <v>4.7619047619047616E-2</v>
      </c>
    </row>
    <row r="5" spans="2:57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15</v>
      </c>
      <c r="BE5" s="25">
        <f>BD5/$BD$15</f>
        <v>0.35714285714285715</v>
      </c>
    </row>
    <row r="6" spans="2:57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4.7619047619047616E-2</v>
      </c>
    </row>
    <row r="7" spans="2:57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2.3809523809523808E-2</v>
      </c>
    </row>
    <row r="8" spans="2:57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</row>
    <row r="9" spans="2:57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</row>
    <row r="10" spans="2:57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4</v>
      </c>
      <c r="BE10" s="25">
        <f t="shared" si="16"/>
        <v>9.5238095238095233E-2</v>
      </c>
    </row>
    <row r="11" spans="2:57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3</v>
      </c>
      <c r="BE11" s="25">
        <f t="shared" si="16"/>
        <v>7.1428571428571425E-2</v>
      </c>
    </row>
    <row r="12" spans="2:57" ht="15" x14ac:dyDescent="0.25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0</v>
      </c>
      <c r="BE12" s="25">
        <f t="shared" si="16"/>
        <v>0</v>
      </c>
    </row>
    <row r="13" spans="2:57" ht="15" x14ac:dyDescent="0.25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15</v>
      </c>
      <c r="BE13" s="25">
        <f t="shared" si="16"/>
        <v>0.35714285714285715</v>
      </c>
    </row>
    <row r="14" spans="2:57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</row>
    <row r="15" spans="2:57" ht="15.75" thickBot="1" x14ac:dyDescent="0.3">
      <c r="B15" s="5" t="s">
        <v>25</v>
      </c>
      <c r="C15" s="92">
        <f>SUM(C4:C14)</f>
        <v>1079</v>
      </c>
      <c r="D15" s="93"/>
      <c r="E15" s="92">
        <f>SUM(E4:E14)</f>
        <v>32</v>
      </c>
      <c r="F15" s="93"/>
      <c r="G15" s="92">
        <f>SUM(G4:G14)</f>
        <v>24</v>
      </c>
      <c r="H15" s="94"/>
      <c r="J15" s="5" t="s">
        <v>25</v>
      </c>
      <c r="K15" s="92">
        <f>SUM(K4:K14)</f>
        <v>58</v>
      </c>
      <c r="L15" s="93"/>
      <c r="M15" s="92">
        <f>SUM(M4:M14)</f>
        <v>8</v>
      </c>
      <c r="N15" s="93"/>
      <c r="O15" s="92">
        <f>SUM(O4:O14)</f>
        <v>35</v>
      </c>
      <c r="P15" s="94"/>
      <c r="Q15" s="29"/>
      <c r="R15" s="5" t="s">
        <v>25</v>
      </c>
      <c r="S15" s="92">
        <f>SUM(S4:S14)</f>
        <v>1137</v>
      </c>
      <c r="T15" s="97"/>
      <c r="U15" s="92">
        <f>SUM(U4:U14)</f>
        <v>40</v>
      </c>
      <c r="V15" s="97"/>
      <c r="W15" s="98">
        <f>SUM(W4:W14)</f>
        <v>59</v>
      </c>
      <c r="X15" s="99"/>
      <c r="Y15" s="29"/>
      <c r="AA15" s="5" t="s">
        <v>25</v>
      </c>
      <c r="AB15" s="92">
        <f>SUM(AB4:AB14)</f>
        <v>329</v>
      </c>
      <c r="AC15" s="93"/>
      <c r="AD15" s="92">
        <f>SUM(AD4:AD14)</f>
        <v>29</v>
      </c>
      <c r="AE15" s="93"/>
      <c r="AF15" s="92">
        <f>SUM(AF4:AF14)</f>
        <v>27</v>
      </c>
      <c r="AG15" s="94"/>
      <c r="AI15" s="5" t="s">
        <v>25</v>
      </c>
      <c r="AJ15" s="92">
        <f>SUM(AJ4:AJ14)</f>
        <v>203</v>
      </c>
      <c r="AK15" s="93"/>
      <c r="AL15" s="92">
        <f>SUM(AL4:AL14)</f>
        <v>36</v>
      </c>
      <c r="AM15" s="93"/>
      <c r="AN15" s="92">
        <f>SUM(AN4:AN14)</f>
        <v>74</v>
      </c>
      <c r="AO15" s="94"/>
      <c r="AQ15" s="5" t="s">
        <v>25</v>
      </c>
      <c r="AR15" s="92">
        <f>SUM(AR4:AR14)</f>
        <v>152</v>
      </c>
      <c r="AS15" s="93"/>
      <c r="AT15" s="92">
        <f>SUM(AT4:AT14)</f>
        <v>58</v>
      </c>
      <c r="AU15" s="93"/>
      <c r="AV15" s="92">
        <f>SUM(AV4:AV14)</f>
        <v>79</v>
      </c>
      <c r="AW15" s="94"/>
      <c r="AY15" s="5" t="s">
        <v>25</v>
      </c>
      <c r="AZ15" s="92">
        <f>SUM(AZ4:AZ14)</f>
        <v>245</v>
      </c>
      <c r="BA15" s="93"/>
      <c r="BB15" s="92">
        <f>SUM(BB4:BB14)</f>
        <v>51</v>
      </c>
      <c r="BC15" s="93"/>
      <c r="BD15" s="92">
        <f>SUM(BD4:BD14)</f>
        <v>42</v>
      </c>
      <c r="BE15" s="94"/>
    </row>
    <row r="16" spans="2:57" ht="15.75" thickBot="1" x14ac:dyDescent="0.3">
      <c r="B16" s="19" t="s">
        <v>26</v>
      </c>
      <c r="C16" s="95">
        <f>C15/($C$15+$E$15+$G$15)</f>
        <v>0.95066079295154182</v>
      </c>
      <c r="D16" s="101"/>
      <c r="E16" s="95">
        <f>E15/($C$15+$E$15+$G$15)</f>
        <v>2.8193832599118944E-2</v>
      </c>
      <c r="F16" s="101"/>
      <c r="G16" s="95">
        <f>G15/($C$15+$E$15+$G$15)</f>
        <v>2.1145374449339206E-2</v>
      </c>
      <c r="H16" s="96"/>
      <c r="I16" s="52"/>
      <c r="J16" s="19" t="s">
        <v>26</v>
      </c>
      <c r="K16" s="95">
        <f>K15/($K$15+$M$15+$O$15)</f>
        <v>0.57425742574257421</v>
      </c>
      <c r="L16" s="101"/>
      <c r="M16" s="95">
        <f>M15/($K$15+$M$15+$O$15)</f>
        <v>7.9207920792079209E-2</v>
      </c>
      <c r="N16" s="96"/>
      <c r="O16" s="95">
        <f>O15/($K$15+$M$15+$O$15)</f>
        <v>0.34653465346534651</v>
      </c>
      <c r="P16" s="96"/>
      <c r="Q16" s="53"/>
      <c r="R16" s="19" t="s">
        <v>26</v>
      </c>
      <c r="S16" s="95">
        <f>S15/($S$15+$U$15+$W$15)</f>
        <v>0.91990291262135926</v>
      </c>
      <c r="T16" s="96"/>
      <c r="U16" s="95">
        <f>U15/($S$15+$U$15+$W$15)</f>
        <v>3.2362459546925564E-2</v>
      </c>
      <c r="V16" s="96"/>
      <c r="W16" s="95">
        <f>W15/($S$15+$U$15+$W$15)</f>
        <v>4.7734627831715212E-2</v>
      </c>
      <c r="X16" s="96"/>
      <c r="Y16" s="53"/>
      <c r="Z16" s="52"/>
      <c r="AA16" s="19" t="s">
        <v>26</v>
      </c>
      <c r="AB16" s="95">
        <f>AB15/($AB$15+$AD$15+$AF$15)</f>
        <v>0.8545454545454545</v>
      </c>
      <c r="AC16" s="96"/>
      <c r="AD16" s="95">
        <f>AD15/($AB$15+$AD$15+$AF$15)</f>
        <v>7.5324675324675322E-2</v>
      </c>
      <c r="AE16" s="96"/>
      <c r="AF16" s="95">
        <f>AF15/($AB$15+$AD$15+$AF$15)</f>
        <v>7.0129870129870125E-2</v>
      </c>
      <c r="AG16" s="96"/>
      <c r="AI16" s="19" t="s">
        <v>26</v>
      </c>
      <c r="AJ16" s="95">
        <f>AJ15/($AJ$15+$AL$15+$AN$15)</f>
        <v>0.6485623003194888</v>
      </c>
      <c r="AK16" s="96"/>
      <c r="AL16" s="95">
        <f>AL15/($AJ$15+$AL$15+$AN$15)</f>
        <v>0.11501597444089456</v>
      </c>
      <c r="AM16" s="96"/>
      <c r="AN16" s="95">
        <f>AN15/($AJ$15+$AL$15+$AN$15)</f>
        <v>0.2364217252396166</v>
      </c>
      <c r="AO16" s="96"/>
      <c r="AQ16" s="19" t="s">
        <v>26</v>
      </c>
      <c r="AR16" s="95">
        <f>AR15/($AR$15+$AT$15+$AV$15)</f>
        <v>0.52595155709342556</v>
      </c>
      <c r="AS16" s="96"/>
      <c r="AT16" s="95">
        <f t="shared" ref="AT16" si="17">AT15/($AR$15+$AT$15+$AV$15)</f>
        <v>0.20069204152249134</v>
      </c>
      <c r="AU16" s="96"/>
      <c r="AV16" s="95">
        <f t="shared" ref="AV16" si="18">AV15/($AR$15+$AT$15+$AV$15)</f>
        <v>0.27335640138408307</v>
      </c>
      <c r="AW16" s="96"/>
      <c r="AY16" s="19" t="s">
        <v>26</v>
      </c>
      <c r="AZ16" s="95">
        <f>AZ15/($AZ$15+$BB$15+$BD$15)</f>
        <v>0.7248520710059172</v>
      </c>
      <c r="BA16" s="96"/>
      <c r="BB16" s="95">
        <f>BB15/($AZ$15+$BB$15+$BD$15)</f>
        <v>0.15088757396449703</v>
      </c>
      <c r="BC16" s="96"/>
      <c r="BD16" s="95">
        <f>BD15/($AZ$15+$BB$15+$BD$15)</f>
        <v>0.1242603550295858</v>
      </c>
      <c r="BE16" s="96"/>
    </row>
    <row r="17" spans="2:57" ht="15.75" thickBot="1" x14ac:dyDescent="0.3">
      <c r="B17" s="20" t="s">
        <v>23</v>
      </c>
      <c r="C17" s="100">
        <v>0.85</v>
      </c>
      <c r="D17" s="104"/>
      <c r="E17" s="100">
        <v>0.1</v>
      </c>
      <c r="F17" s="104"/>
      <c r="G17" s="100">
        <v>0.05</v>
      </c>
      <c r="H17" s="96"/>
      <c r="I17" s="52"/>
      <c r="J17" s="20" t="s">
        <v>23</v>
      </c>
      <c r="K17" s="100">
        <v>0.85</v>
      </c>
      <c r="L17" s="104"/>
      <c r="M17" s="100">
        <v>0.1</v>
      </c>
      <c r="N17" s="96"/>
      <c r="O17" s="100">
        <v>0.05</v>
      </c>
      <c r="P17" s="96"/>
      <c r="Q17" s="53"/>
      <c r="R17" s="20" t="s">
        <v>23</v>
      </c>
      <c r="S17" s="100">
        <v>0.85</v>
      </c>
      <c r="T17" s="96"/>
      <c r="U17" s="100">
        <v>0.1</v>
      </c>
      <c r="V17" s="96"/>
      <c r="W17" s="100">
        <v>0.05</v>
      </c>
      <c r="X17" s="96"/>
      <c r="Y17" s="53"/>
      <c r="Z17" s="52"/>
      <c r="AA17" s="20" t="s">
        <v>23</v>
      </c>
      <c r="AB17" s="100">
        <v>0.85</v>
      </c>
      <c r="AC17" s="96"/>
      <c r="AD17" s="100">
        <v>0.1</v>
      </c>
      <c r="AE17" s="96"/>
      <c r="AF17" s="100">
        <v>0.05</v>
      </c>
      <c r="AG17" s="96"/>
      <c r="AI17" s="20" t="s">
        <v>23</v>
      </c>
      <c r="AJ17" s="100">
        <v>0.85</v>
      </c>
      <c r="AK17" s="96"/>
      <c r="AL17" s="100">
        <v>0.1</v>
      </c>
      <c r="AM17" s="96"/>
      <c r="AN17" s="100">
        <v>0.05</v>
      </c>
      <c r="AO17" s="96"/>
      <c r="AQ17" s="20" t="s">
        <v>23</v>
      </c>
      <c r="AR17" s="100">
        <v>0.85</v>
      </c>
      <c r="AS17" s="96"/>
      <c r="AT17" s="100">
        <v>0.1</v>
      </c>
      <c r="AU17" s="96"/>
      <c r="AV17" s="100">
        <v>0.05</v>
      </c>
      <c r="AW17" s="96"/>
      <c r="AY17" s="20" t="s">
        <v>23</v>
      </c>
      <c r="AZ17" s="100">
        <v>0.85</v>
      </c>
      <c r="BA17" s="96"/>
      <c r="BB17" s="100">
        <v>0.1</v>
      </c>
      <c r="BC17" s="96"/>
      <c r="BD17" s="100">
        <v>0.05</v>
      </c>
      <c r="BE17" s="96"/>
    </row>
    <row r="18" spans="2:57" ht="15.75" thickBot="1" x14ac:dyDescent="0.3">
      <c r="B18" s="21" t="s">
        <v>24</v>
      </c>
      <c r="C18" s="102">
        <f>C16-C17</f>
        <v>0.10066079295154184</v>
      </c>
      <c r="D18" s="103"/>
      <c r="E18" s="102">
        <f>E17-E16</f>
        <v>7.1806167400881055E-2</v>
      </c>
      <c r="F18" s="103"/>
      <c r="G18" s="102">
        <f>G17-G16</f>
        <v>2.8854625550660797E-2</v>
      </c>
      <c r="H18" s="103"/>
      <c r="I18" s="52"/>
      <c r="J18" s="21" t="s">
        <v>24</v>
      </c>
      <c r="K18" s="102">
        <f>K16-K17</f>
        <v>-0.27574257425742577</v>
      </c>
      <c r="L18" s="103"/>
      <c r="M18" s="102">
        <f>M17-M16</f>
        <v>2.0792079207920797E-2</v>
      </c>
      <c r="N18" s="103"/>
      <c r="O18" s="102">
        <f>O17-O16</f>
        <v>-0.29653465346534652</v>
      </c>
      <c r="P18" s="103"/>
      <c r="Q18" s="53"/>
      <c r="R18" s="21" t="s">
        <v>24</v>
      </c>
      <c r="S18" s="102">
        <f>S16-S17</f>
        <v>6.9902912621359281E-2</v>
      </c>
      <c r="T18" s="103"/>
      <c r="U18" s="102">
        <f>U17-U16</f>
        <v>6.7637540453074435E-2</v>
      </c>
      <c r="V18" s="103"/>
      <c r="W18" s="102">
        <f>W17-W16</f>
        <v>2.2653721682847905E-3</v>
      </c>
      <c r="X18" s="103"/>
      <c r="Y18" s="53"/>
      <c r="Z18" s="52"/>
      <c r="AA18" s="21" t="s">
        <v>24</v>
      </c>
      <c r="AB18" s="102">
        <f>AB16-AB17</f>
        <v>4.5454545454545192E-3</v>
      </c>
      <c r="AC18" s="103"/>
      <c r="AD18" s="102">
        <f>AD17-AD16</f>
        <v>2.4675324675324684E-2</v>
      </c>
      <c r="AE18" s="103"/>
      <c r="AF18" s="102">
        <f>AF17-AF16</f>
        <v>-2.0129870129870123E-2</v>
      </c>
      <c r="AG18" s="103"/>
      <c r="AI18" s="21" t="s">
        <v>24</v>
      </c>
      <c r="AJ18" s="102">
        <f>AJ16-AJ17</f>
        <v>-0.20143769968051117</v>
      </c>
      <c r="AK18" s="103"/>
      <c r="AL18" s="102">
        <f>AL17-AL16</f>
        <v>-1.5015974440894558E-2</v>
      </c>
      <c r="AM18" s="103"/>
      <c r="AN18" s="102">
        <f>AN17-AN16</f>
        <v>-0.18642172523961659</v>
      </c>
      <c r="AO18" s="103"/>
      <c r="AQ18" s="21" t="s">
        <v>24</v>
      </c>
      <c r="AR18" s="102">
        <f>AR16-AR17</f>
        <v>-0.32404844290657442</v>
      </c>
      <c r="AS18" s="103"/>
      <c r="AT18" s="102">
        <f>AT17-AT16</f>
        <v>-0.10069204152249134</v>
      </c>
      <c r="AU18" s="103"/>
      <c r="AV18" s="102">
        <f>AV17-AV16</f>
        <v>-0.22335640138408308</v>
      </c>
      <c r="AW18" s="103"/>
      <c r="AY18" s="21" t="s">
        <v>24</v>
      </c>
      <c r="AZ18" s="102">
        <f>AZ16-AZ17</f>
        <v>-0.12514792899408278</v>
      </c>
      <c r="BA18" s="103"/>
      <c r="BB18" s="102">
        <f>BB17-BB16</f>
        <v>-5.0887573964497029E-2</v>
      </c>
      <c r="BC18" s="103"/>
      <c r="BD18" s="102">
        <f>BD17-BD16</f>
        <v>-7.4260355029585792E-2</v>
      </c>
      <c r="BE18" s="103"/>
    </row>
    <row r="22" spans="2:57" ht="15" x14ac:dyDescent="0.25">
      <c r="C22" t="s">
        <v>0</v>
      </c>
      <c r="E22" t="s">
        <v>49</v>
      </c>
      <c r="G22" s="107" t="s">
        <v>61</v>
      </c>
      <c r="H22" s="108"/>
    </row>
    <row r="23" spans="2:57" ht="15" x14ac:dyDescent="0.25">
      <c r="B23" t="s">
        <v>43</v>
      </c>
      <c r="C23" s="22">
        <f>C16</f>
        <v>0.95066079295154182</v>
      </c>
      <c r="E23" s="22">
        <f>E16</f>
        <v>2.8193832599118944E-2</v>
      </c>
      <c r="G23" s="22">
        <f>G16</f>
        <v>2.1145374449339206E-2</v>
      </c>
    </row>
    <row r="24" spans="2:57" ht="15" x14ac:dyDescent="0.25">
      <c r="B24" t="s">
        <v>44</v>
      </c>
      <c r="C24" s="22">
        <f>K16</f>
        <v>0.57425742574257421</v>
      </c>
      <c r="E24" s="22">
        <f>M16</f>
        <v>7.9207920792079209E-2</v>
      </c>
      <c r="G24" s="22">
        <f>O16</f>
        <v>0.34653465346534651</v>
      </c>
    </row>
    <row r="25" spans="2:57" x14ac:dyDescent="0.3">
      <c r="B25" t="s">
        <v>60</v>
      </c>
      <c r="C25" s="22">
        <f>S16</f>
        <v>0.91990291262135926</v>
      </c>
      <c r="E25" s="22">
        <f>U16</f>
        <v>3.2362459546925564E-2</v>
      </c>
      <c r="G25" s="22">
        <f>W16</f>
        <v>4.7734627831715212E-2</v>
      </c>
    </row>
    <row r="26" spans="2:57" x14ac:dyDescent="0.3">
      <c r="B26" s="56">
        <v>6.6</v>
      </c>
      <c r="C26" s="22">
        <f>AB16</f>
        <v>0.8545454545454545</v>
      </c>
      <c r="E26" s="22">
        <f>AD16</f>
        <v>7.5324675324675322E-2</v>
      </c>
      <c r="G26" s="28">
        <f>AF16</f>
        <v>7.0129870129870125E-2</v>
      </c>
    </row>
    <row r="27" spans="2:57" x14ac:dyDescent="0.3">
      <c r="B27" s="56">
        <v>6.7</v>
      </c>
      <c r="C27" s="22">
        <f>AJ16</f>
        <v>0.6485623003194888</v>
      </c>
      <c r="E27" s="22">
        <f>AL16</f>
        <v>0.11501597444089456</v>
      </c>
      <c r="G27" s="28">
        <f>AN16</f>
        <v>0.2364217252396166</v>
      </c>
    </row>
    <row r="28" spans="2:57" x14ac:dyDescent="0.3">
      <c r="B28" s="56" t="s">
        <v>74</v>
      </c>
      <c r="C28" s="22">
        <f>AR16</f>
        <v>0.52595155709342556</v>
      </c>
      <c r="E28" s="22">
        <f>AT16</f>
        <v>0.20069204152249134</v>
      </c>
      <c r="G28" s="28">
        <f>AV16</f>
        <v>0.27335640138408307</v>
      </c>
    </row>
    <row r="29" spans="2:57" x14ac:dyDescent="0.3">
      <c r="B29" t="s">
        <v>45</v>
      </c>
      <c r="C29" s="22">
        <f>C59</f>
        <v>0.82072829131652658</v>
      </c>
      <c r="E29" s="22">
        <f>E59</f>
        <v>8.4033613445378158E-2</v>
      </c>
      <c r="G29" s="28">
        <f>G59</f>
        <v>9.5238095238095233E-2</v>
      </c>
    </row>
    <row r="30" spans="2:57" x14ac:dyDescent="0.3">
      <c r="B30" t="s">
        <v>42</v>
      </c>
      <c r="C30" s="22">
        <f>K76</f>
        <v>0.97068771138669674</v>
      </c>
      <c r="E30" s="22">
        <f>M76</f>
        <v>9.0191657271702363E-3</v>
      </c>
      <c r="G30" s="28">
        <f>O76</f>
        <v>2.0293122886133032E-2</v>
      </c>
    </row>
    <row r="31" spans="2:57" x14ac:dyDescent="0.3">
      <c r="B31" t="s">
        <v>46</v>
      </c>
      <c r="C31" s="22">
        <f>S76</f>
        <v>0.95198675496688745</v>
      </c>
      <c r="E31" s="22">
        <f>U76</f>
        <v>3.4768211920529798E-2</v>
      </c>
      <c r="G31" s="28">
        <f>W76</f>
        <v>1.3245033112582781E-2</v>
      </c>
    </row>
    <row r="32" spans="2:57" x14ac:dyDescent="0.3">
      <c r="B32" t="s">
        <v>64</v>
      </c>
      <c r="C32" s="22">
        <f>AB76</f>
        <v>0.73888888888888893</v>
      </c>
      <c r="E32" s="22">
        <f>AD76</f>
        <v>6.6666666666666666E-2</v>
      </c>
      <c r="G32" s="28">
        <f>AF76</f>
        <v>0.19444444444444445</v>
      </c>
    </row>
    <row r="33" spans="2:41" x14ac:dyDescent="0.3">
      <c r="B33" t="s">
        <v>65</v>
      </c>
      <c r="C33" s="22">
        <f>AJ76</f>
        <v>0.97576530612244894</v>
      </c>
      <c r="E33" s="22">
        <f>AL76</f>
        <v>1.2755102040816327E-2</v>
      </c>
      <c r="G33" s="28">
        <f>AN76</f>
        <v>1.1479591836734694E-2</v>
      </c>
    </row>
    <row r="35" spans="2:41" x14ac:dyDescent="0.3">
      <c r="C35" t="s">
        <v>0</v>
      </c>
      <c r="E35" t="s">
        <v>49</v>
      </c>
      <c r="G35" s="107" t="s">
        <v>61</v>
      </c>
      <c r="H35" s="108"/>
    </row>
    <row r="36" spans="2:41" x14ac:dyDescent="0.3">
      <c r="B36" t="s">
        <v>43</v>
      </c>
      <c r="C36" s="27">
        <v>1079</v>
      </c>
      <c r="D36" s="27"/>
      <c r="E36" s="27">
        <v>57</v>
      </c>
      <c r="F36" s="27"/>
      <c r="G36" s="27">
        <v>0</v>
      </c>
    </row>
    <row r="37" spans="2:41" x14ac:dyDescent="0.3">
      <c r="B37" t="s">
        <v>44</v>
      </c>
      <c r="C37" s="27">
        <v>125</v>
      </c>
      <c r="D37" s="27"/>
      <c r="E37" s="27">
        <v>0</v>
      </c>
      <c r="F37" s="27"/>
      <c r="G37" s="27">
        <v>0</v>
      </c>
    </row>
    <row r="38" spans="2:41" x14ac:dyDescent="0.3">
      <c r="B38" s="56">
        <v>6.6</v>
      </c>
      <c r="C38" s="27">
        <v>0</v>
      </c>
      <c r="D38" s="27"/>
      <c r="E38" s="27">
        <v>0</v>
      </c>
      <c r="F38" s="27"/>
      <c r="G38" s="27">
        <v>0</v>
      </c>
    </row>
    <row r="39" spans="2:41" x14ac:dyDescent="0.3">
      <c r="B39" t="s">
        <v>45</v>
      </c>
      <c r="C39" s="27">
        <v>194.333333333333</v>
      </c>
      <c r="D39" s="27"/>
      <c r="E39" s="27">
        <v>45</v>
      </c>
      <c r="F39" s="27"/>
      <c r="G39" s="27">
        <v>9</v>
      </c>
    </row>
    <row r="40" spans="2:41" x14ac:dyDescent="0.3">
      <c r="B40" t="s">
        <v>42</v>
      </c>
      <c r="C40" s="27">
        <v>150.333333333333</v>
      </c>
      <c r="D40" s="27"/>
      <c r="E40" s="27">
        <v>31</v>
      </c>
      <c r="F40" s="27"/>
      <c r="G40" s="27">
        <v>-9</v>
      </c>
    </row>
    <row r="41" spans="2:41" x14ac:dyDescent="0.3">
      <c r="B41" t="s">
        <v>46</v>
      </c>
      <c r="C41" s="27">
        <v>106.333333333333</v>
      </c>
      <c r="D41" s="27"/>
      <c r="E41" s="27">
        <v>17</v>
      </c>
      <c r="F41" s="27"/>
      <c r="G41" s="27">
        <v>-27</v>
      </c>
    </row>
    <row r="45" spans="2:41" ht="18.600000000000001" thickBot="1" x14ac:dyDescent="0.4">
      <c r="B45" s="1" t="s">
        <v>47</v>
      </c>
      <c r="J45" s="1" t="s">
        <v>42</v>
      </c>
      <c r="R45" s="1" t="s">
        <v>46</v>
      </c>
      <c r="AA45" s="1" t="s">
        <v>64</v>
      </c>
      <c r="AI45" s="1" t="s">
        <v>65</v>
      </c>
    </row>
    <row r="46" spans="2:41" ht="15" thickBot="1" x14ac:dyDescent="0.35">
      <c r="B46" s="18" t="s">
        <v>22</v>
      </c>
      <c r="C46" s="86" t="s">
        <v>0</v>
      </c>
      <c r="D46" s="86"/>
      <c r="E46" s="86" t="s">
        <v>49</v>
      </c>
      <c r="F46" s="86"/>
      <c r="G46" s="87" t="s">
        <v>61</v>
      </c>
      <c r="H46" s="88"/>
      <c r="J46" s="18" t="s">
        <v>22</v>
      </c>
      <c r="K46" s="86" t="s">
        <v>0</v>
      </c>
      <c r="L46" s="86"/>
      <c r="M46" s="86" t="s">
        <v>49</v>
      </c>
      <c r="N46" s="86"/>
      <c r="O46" s="87" t="s">
        <v>63</v>
      </c>
      <c r="P46" s="88"/>
      <c r="Q46" s="55"/>
      <c r="R46" s="18" t="s">
        <v>22</v>
      </c>
      <c r="S46" s="86" t="s">
        <v>0</v>
      </c>
      <c r="T46" s="86"/>
      <c r="U46" s="86" t="s">
        <v>49</v>
      </c>
      <c r="V46" s="86"/>
      <c r="W46" s="87" t="s">
        <v>61</v>
      </c>
      <c r="X46" s="88"/>
      <c r="Y46" s="55"/>
      <c r="AA46" s="18" t="s">
        <v>22</v>
      </c>
      <c r="AB46" s="86" t="s">
        <v>0</v>
      </c>
      <c r="AC46" s="86"/>
      <c r="AD46" s="86" t="s">
        <v>49</v>
      </c>
      <c r="AE46" s="86"/>
      <c r="AF46" s="87" t="s">
        <v>61</v>
      </c>
      <c r="AG46" s="88"/>
      <c r="AI46" s="18" t="s">
        <v>22</v>
      </c>
      <c r="AJ46" s="86" t="s">
        <v>0</v>
      </c>
      <c r="AK46" s="86"/>
      <c r="AL46" s="86" t="s">
        <v>49</v>
      </c>
      <c r="AM46" s="86"/>
      <c r="AN46" s="87" t="s">
        <v>61</v>
      </c>
      <c r="AO46" s="88"/>
    </row>
    <row r="47" spans="2:41" x14ac:dyDescent="0.3">
      <c r="B47" s="42" t="s">
        <v>50</v>
      </c>
      <c r="C47" s="9">
        <v>1</v>
      </c>
      <c r="D47" s="10">
        <f>C47/C58</f>
        <v>3.4129692832764505E-3</v>
      </c>
      <c r="E47" s="9">
        <v>0</v>
      </c>
      <c r="F47" s="26">
        <f>E47/$E$58</f>
        <v>0</v>
      </c>
      <c r="G47" s="9">
        <v>0</v>
      </c>
      <c r="H47" s="23">
        <f>G47/$G$58</f>
        <v>0</v>
      </c>
      <c r="J47" s="8" t="s">
        <v>11</v>
      </c>
      <c r="K47" s="9">
        <v>0</v>
      </c>
      <c r="L47" s="10">
        <f>K47/K75</f>
        <v>0</v>
      </c>
      <c r="M47" s="9">
        <v>0</v>
      </c>
      <c r="N47" s="10">
        <f>M47/$M$75</f>
        <v>0</v>
      </c>
      <c r="O47" s="57">
        <v>0</v>
      </c>
      <c r="P47" s="23">
        <f>O47/$O$75</f>
        <v>0</v>
      </c>
      <c r="Q47" s="35"/>
      <c r="R47" s="8" t="s">
        <v>11</v>
      </c>
      <c r="S47" s="9">
        <v>0</v>
      </c>
      <c r="T47" s="10">
        <f>S47/S75</f>
        <v>0</v>
      </c>
      <c r="U47" s="9">
        <v>0</v>
      </c>
      <c r="V47" s="10">
        <f>U47/$U$75</f>
        <v>0</v>
      </c>
      <c r="W47" s="9">
        <v>0</v>
      </c>
      <c r="X47" s="23">
        <f>W47/$W$75</f>
        <v>0</v>
      </c>
      <c r="Y47" s="35"/>
      <c r="AA47" s="8" t="s">
        <v>11</v>
      </c>
      <c r="AB47" s="9">
        <v>0</v>
      </c>
      <c r="AC47" s="10">
        <f>AB47/AB75</f>
        <v>0</v>
      </c>
      <c r="AD47" s="9">
        <v>0</v>
      </c>
      <c r="AE47" s="10">
        <f>AD47/$AD$75</f>
        <v>0</v>
      </c>
      <c r="AF47" s="9">
        <v>0</v>
      </c>
      <c r="AG47" s="23">
        <f>AF47/$AF$75</f>
        <v>0</v>
      </c>
      <c r="AI47" s="8" t="s">
        <v>78</v>
      </c>
      <c r="AJ47" s="9">
        <v>0</v>
      </c>
      <c r="AK47" s="10">
        <f>AJ47/AJ75</f>
        <v>0</v>
      </c>
      <c r="AL47" s="9">
        <v>0</v>
      </c>
      <c r="AM47" s="10">
        <f>AL47/$AL$75</f>
        <v>0</v>
      </c>
      <c r="AN47" s="9">
        <v>1</v>
      </c>
      <c r="AO47" s="23">
        <f>AN47/$AN$75</f>
        <v>0.1111111111111111</v>
      </c>
    </row>
    <row r="48" spans="2:41" x14ac:dyDescent="0.3">
      <c r="B48" s="40" t="s">
        <v>51</v>
      </c>
      <c r="C48" s="7">
        <v>1</v>
      </c>
      <c r="D48" s="11">
        <f>C48/C58</f>
        <v>3.4129692832764505E-3</v>
      </c>
      <c r="E48" s="7">
        <v>0</v>
      </c>
      <c r="F48" s="24">
        <f>E48/$E$58</f>
        <v>0</v>
      </c>
      <c r="G48" s="7">
        <v>1</v>
      </c>
      <c r="H48" s="25">
        <f>G48/$G$58</f>
        <v>2.9411764705882353E-2</v>
      </c>
      <c r="J48" s="2" t="s">
        <v>1</v>
      </c>
      <c r="K48" s="7">
        <v>0</v>
      </c>
      <c r="L48" s="11">
        <f>K48/K75</f>
        <v>0</v>
      </c>
      <c r="M48" s="7">
        <v>0</v>
      </c>
      <c r="N48" s="11">
        <f>M48/$M$75</f>
        <v>0</v>
      </c>
      <c r="O48" s="59">
        <v>0</v>
      </c>
      <c r="P48" s="25">
        <f>O48/$O$75</f>
        <v>0</v>
      </c>
      <c r="Q48" s="34"/>
      <c r="R48" s="2" t="s">
        <v>1</v>
      </c>
      <c r="S48" s="7">
        <v>0</v>
      </c>
      <c r="T48" s="11">
        <f>S48/$S$75</f>
        <v>0</v>
      </c>
      <c r="U48" s="7">
        <v>0</v>
      </c>
      <c r="V48" s="11">
        <f>U48/$U$75</f>
        <v>0</v>
      </c>
      <c r="W48" s="7">
        <v>0</v>
      </c>
      <c r="X48" s="25">
        <f>W48/$W$75</f>
        <v>0</v>
      </c>
      <c r="Y48" s="34"/>
      <c r="AA48" s="2" t="s">
        <v>1</v>
      </c>
      <c r="AB48" s="7">
        <v>0</v>
      </c>
      <c r="AC48" s="11">
        <f>AB48/AB75</f>
        <v>0</v>
      </c>
      <c r="AD48" s="7">
        <v>0</v>
      </c>
      <c r="AE48" s="11">
        <f>AD48/$AD$75</f>
        <v>0</v>
      </c>
      <c r="AF48" s="7">
        <v>0</v>
      </c>
      <c r="AG48" s="13">
        <f>AF48/$AF$75</f>
        <v>0</v>
      </c>
      <c r="AI48" s="2" t="s">
        <v>1</v>
      </c>
      <c r="AJ48" s="7">
        <v>0</v>
      </c>
      <c r="AK48" s="11">
        <f>AJ48/$AJ$75</f>
        <v>0</v>
      </c>
      <c r="AL48" s="7">
        <v>1</v>
      </c>
      <c r="AM48" s="11">
        <f>AL48/$AL$75</f>
        <v>0.1</v>
      </c>
      <c r="AN48" s="7">
        <v>0</v>
      </c>
      <c r="AO48" s="13">
        <f>AN48/$AN$75</f>
        <v>0</v>
      </c>
    </row>
    <row r="49" spans="2:41" x14ac:dyDescent="0.3">
      <c r="B49" s="41" t="s">
        <v>52</v>
      </c>
      <c r="C49" s="7">
        <v>4</v>
      </c>
      <c r="D49" s="11">
        <f>C49/C58</f>
        <v>1.3651877133105802E-2</v>
      </c>
      <c r="E49" s="7">
        <v>10</v>
      </c>
      <c r="F49" s="24">
        <f t="shared" ref="F49:F56" si="19">E49/$E$58</f>
        <v>0.33333333333333331</v>
      </c>
      <c r="G49" s="7">
        <v>9</v>
      </c>
      <c r="H49" s="25">
        <f t="shared" ref="H49:H56" si="20">G49/$G$58</f>
        <v>0.26470588235294118</v>
      </c>
      <c r="J49" s="3" t="s">
        <v>12</v>
      </c>
      <c r="K49" s="7">
        <v>70</v>
      </c>
      <c r="L49" s="11">
        <f>K49/K75</f>
        <v>8.1300813008130079E-2</v>
      </c>
      <c r="M49" s="7">
        <v>0</v>
      </c>
      <c r="N49" s="11">
        <f t="shared" ref="N49:N73" si="21">M49/$M$75</f>
        <v>0</v>
      </c>
      <c r="O49" s="59">
        <v>1</v>
      </c>
      <c r="P49" s="25">
        <f t="shared" ref="P49:P73" si="22">O49/$O$75</f>
        <v>5.5555555555555552E-2</v>
      </c>
      <c r="Q49" s="35"/>
      <c r="R49" s="3" t="s">
        <v>12</v>
      </c>
      <c r="S49" s="7">
        <v>47</v>
      </c>
      <c r="T49" s="11">
        <f t="shared" ref="T49:T73" si="23">S49/$S$75</f>
        <v>8.1739130434782606E-2</v>
      </c>
      <c r="U49" s="7">
        <v>0</v>
      </c>
      <c r="V49" s="11">
        <f t="shared" ref="V49:V73" si="24">U49/$U$75</f>
        <v>0</v>
      </c>
      <c r="W49" s="7">
        <v>0</v>
      </c>
      <c r="X49" s="25">
        <f t="shared" ref="X49:X73" si="25">W49/$W$75</f>
        <v>0</v>
      </c>
      <c r="Y49" s="35"/>
      <c r="AA49" s="3" t="s">
        <v>12</v>
      </c>
      <c r="AB49" s="7">
        <v>11</v>
      </c>
      <c r="AC49" s="11">
        <f>AB49/AB75</f>
        <v>8.2706766917293228E-2</v>
      </c>
      <c r="AD49" s="7">
        <v>0</v>
      </c>
      <c r="AE49" s="11">
        <f t="shared" ref="AE49:AE73" si="26">AD49/$AD$75</f>
        <v>0</v>
      </c>
      <c r="AF49" s="7">
        <v>2</v>
      </c>
      <c r="AG49" s="13">
        <f t="shared" ref="AG49:AG73" si="27">AF49/$AF$75</f>
        <v>5.7142857142857141E-2</v>
      </c>
      <c r="AI49" s="3" t="s">
        <v>12</v>
      </c>
      <c r="AJ49" s="7">
        <v>62</v>
      </c>
      <c r="AK49" s="11">
        <f t="shared" ref="AK49:AK73" si="28">AJ49/$AJ$75</f>
        <v>8.1045751633986932E-2</v>
      </c>
      <c r="AL49" s="7">
        <v>1</v>
      </c>
      <c r="AM49" s="11">
        <f t="shared" ref="AM49:AM73" si="29">AL49/$AL$75</f>
        <v>0.1</v>
      </c>
      <c r="AN49" s="7">
        <v>0</v>
      </c>
      <c r="AO49" s="13">
        <f t="shared" ref="AO49:AO73" si="30">AN49/$AN$75</f>
        <v>0</v>
      </c>
    </row>
    <row r="50" spans="2:41" x14ac:dyDescent="0.3">
      <c r="B50" s="41" t="s">
        <v>53</v>
      </c>
      <c r="C50" s="7">
        <v>37</v>
      </c>
      <c r="D50" s="11">
        <f>C50/C58</f>
        <v>0.12627986348122866</v>
      </c>
      <c r="E50" s="7">
        <v>2</v>
      </c>
      <c r="F50" s="24">
        <f t="shared" si="19"/>
        <v>6.6666666666666666E-2</v>
      </c>
      <c r="G50" s="7">
        <v>5</v>
      </c>
      <c r="H50" s="25">
        <f t="shared" si="20"/>
        <v>0.14705882352941177</v>
      </c>
      <c r="J50" s="3" t="s">
        <v>27</v>
      </c>
      <c r="K50" s="7">
        <v>0</v>
      </c>
      <c r="L50" s="11">
        <f>K50/K75</f>
        <v>0</v>
      </c>
      <c r="M50" s="7">
        <v>0</v>
      </c>
      <c r="N50" s="11">
        <f t="shared" si="21"/>
        <v>0</v>
      </c>
      <c r="O50" s="59">
        <v>0</v>
      </c>
      <c r="P50" s="25">
        <f t="shared" si="22"/>
        <v>0</v>
      </c>
      <c r="Q50" s="34"/>
      <c r="R50" s="3" t="s">
        <v>27</v>
      </c>
      <c r="S50" s="7">
        <v>0</v>
      </c>
      <c r="T50" s="11">
        <f t="shared" si="23"/>
        <v>0</v>
      </c>
      <c r="U50" s="7">
        <v>0</v>
      </c>
      <c r="V50" s="11">
        <f t="shared" si="24"/>
        <v>0</v>
      </c>
      <c r="W50" s="7">
        <v>0</v>
      </c>
      <c r="X50" s="25">
        <f t="shared" si="25"/>
        <v>0</v>
      </c>
      <c r="Y50" s="34"/>
      <c r="AA50" s="3" t="s">
        <v>27</v>
      </c>
      <c r="AB50" s="7">
        <v>0</v>
      </c>
      <c r="AC50" s="11">
        <f>AB50/AB75</f>
        <v>0</v>
      </c>
      <c r="AD50" s="7">
        <v>0</v>
      </c>
      <c r="AE50" s="11">
        <f t="shared" si="26"/>
        <v>0</v>
      </c>
      <c r="AF50" s="7">
        <v>0</v>
      </c>
      <c r="AG50" s="13">
        <f t="shared" si="27"/>
        <v>0</v>
      </c>
      <c r="AI50" s="3" t="s">
        <v>75</v>
      </c>
      <c r="AJ50" s="7">
        <v>0</v>
      </c>
      <c r="AK50" s="11">
        <f t="shared" si="28"/>
        <v>0</v>
      </c>
      <c r="AL50" s="7">
        <v>2</v>
      </c>
      <c r="AM50" s="11">
        <f t="shared" si="29"/>
        <v>0.2</v>
      </c>
      <c r="AN50" s="7">
        <v>1</v>
      </c>
      <c r="AO50" s="13">
        <f t="shared" si="30"/>
        <v>0.1111111111111111</v>
      </c>
    </row>
    <row r="51" spans="2:41" x14ac:dyDescent="0.3">
      <c r="B51" s="41" t="s">
        <v>54</v>
      </c>
      <c r="C51" s="7">
        <v>0</v>
      </c>
      <c r="D51" s="11">
        <f>C51/C58</f>
        <v>0</v>
      </c>
      <c r="E51" s="7">
        <v>2</v>
      </c>
      <c r="F51" s="24">
        <f t="shared" si="19"/>
        <v>6.6666666666666666E-2</v>
      </c>
      <c r="G51" s="7">
        <v>1</v>
      </c>
      <c r="H51" s="25">
        <f t="shared" si="20"/>
        <v>2.9411764705882353E-2</v>
      </c>
      <c r="J51" s="3" t="s">
        <v>28</v>
      </c>
      <c r="K51" s="7">
        <v>0</v>
      </c>
      <c r="L51" s="11">
        <f>K51/K75</f>
        <v>0</v>
      </c>
      <c r="M51" s="7">
        <v>0</v>
      </c>
      <c r="N51" s="11">
        <f t="shared" si="21"/>
        <v>0</v>
      </c>
      <c r="O51" s="59">
        <v>0</v>
      </c>
      <c r="P51" s="25">
        <f t="shared" si="22"/>
        <v>0</v>
      </c>
      <c r="Q51" s="34"/>
      <c r="R51" s="3" t="s">
        <v>28</v>
      </c>
      <c r="S51" s="7">
        <v>0</v>
      </c>
      <c r="T51" s="11">
        <f t="shared" si="23"/>
        <v>0</v>
      </c>
      <c r="U51" s="7">
        <v>0</v>
      </c>
      <c r="V51" s="11">
        <f t="shared" si="24"/>
        <v>0</v>
      </c>
      <c r="W51" s="7">
        <v>0</v>
      </c>
      <c r="X51" s="25">
        <f t="shared" si="25"/>
        <v>0</v>
      </c>
      <c r="Y51" s="34"/>
      <c r="AA51" s="3" t="s">
        <v>28</v>
      </c>
      <c r="AB51" s="7">
        <v>0</v>
      </c>
      <c r="AC51" s="11">
        <f>AB51/AB75</f>
        <v>0</v>
      </c>
      <c r="AD51" s="7">
        <v>0</v>
      </c>
      <c r="AE51" s="11">
        <f t="shared" si="26"/>
        <v>0</v>
      </c>
      <c r="AF51" s="7">
        <v>0</v>
      </c>
      <c r="AG51" s="13">
        <f t="shared" si="27"/>
        <v>0</v>
      </c>
      <c r="AI51" s="3" t="s">
        <v>28</v>
      </c>
      <c r="AJ51" s="7">
        <v>0</v>
      </c>
      <c r="AK51" s="11">
        <f t="shared" si="28"/>
        <v>0</v>
      </c>
      <c r="AL51" s="7">
        <v>0</v>
      </c>
      <c r="AM51" s="11">
        <f t="shared" si="29"/>
        <v>0</v>
      </c>
      <c r="AN51" s="7">
        <v>2</v>
      </c>
      <c r="AO51" s="13">
        <f t="shared" si="30"/>
        <v>0.22222222222222221</v>
      </c>
    </row>
    <row r="52" spans="2:41" x14ac:dyDescent="0.3">
      <c r="B52" s="41" t="s">
        <v>36</v>
      </c>
      <c r="C52" s="7">
        <v>0</v>
      </c>
      <c r="D52" s="11">
        <f>C52/C58</f>
        <v>0</v>
      </c>
      <c r="E52" s="7">
        <v>2</v>
      </c>
      <c r="F52" s="24">
        <f t="shared" si="19"/>
        <v>6.6666666666666666E-2</v>
      </c>
      <c r="G52" s="7">
        <v>0</v>
      </c>
      <c r="H52" s="25">
        <f t="shared" si="20"/>
        <v>0</v>
      </c>
      <c r="J52" s="3" t="s">
        <v>29</v>
      </c>
      <c r="K52" s="7">
        <v>0</v>
      </c>
      <c r="L52" s="11">
        <f>K52/K75</f>
        <v>0</v>
      </c>
      <c r="M52" s="7">
        <v>0</v>
      </c>
      <c r="N52" s="11">
        <f t="shared" si="21"/>
        <v>0</v>
      </c>
      <c r="O52" s="59">
        <v>0</v>
      </c>
      <c r="P52" s="25">
        <f t="shared" si="22"/>
        <v>0</v>
      </c>
      <c r="Q52" s="34"/>
      <c r="R52" s="3" t="s">
        <v>29</v>
      </c>
      <c r="S52" s="7">
        <v>0</v>
      </c>
      <c r="T52" s="11">
        <f t="shared" si="23"/>
        <v>0</v>
      </c>
      <c r="U52" s="7">
        <v>0</v>
      </c>
      <c r="V52" s="11">
        <f t="shared" si="24"/>
        <v>0</v>
      </c>
      <c r="W52" s="7">
        <v>0</v>
      </c>
      <c r="X52" s="25">
        <f t="shared" si="25"/>
        <v>0</v>
      </c>
      <c r="Y52" s="34"/>
      <c r="AA52" s="3" t="s">
        <v>29</v>
      </c>
      <c r="AB52" s="7">
        <v>0</v>
      </c>
      <c r="AC52" s="11">
        <f>AB52/AB75</f>
        <v>0</v>
      </c>
      <c r="AD52" s="7">
        <v>0</v>
      </c>
      <c r="AE52" s="11">
        <f t="shared" si="26"/>
        <v>0</v>
      </c>
      <c r="AF52" s="7">
        <v>0</v>
      </c>
      <c r="AG52" s="13">
        <f t="shared" si="27"/>
        <v>0</v>
      </c>
      <c r="AI52" s="3" t="s">
        <v>29</v>
      </c>
      <c r="AJ52" s="7">
        <v>0</v>
      </c>
      <c r="AK52" s="11">
        <f t="shared" si="28"/>
        <v>0</v>
      </c>
      <c r="AL52" s="7">
        <v>0</v>
      </c>
      <c r="AM52" s="11">
        <f t="shared" si="29"/>
        <v>0</v>
      </c>
      <c r="AN52" s="7">
        <v>0</v>
      </c>
      <c r="AO52" s="13">
        <f t="shared" si="30"/>
        <v>0</v>
      </c>
    </row>
    <row r="53" spans="2:41" x14ac:dyDescent="0.3">
      <c r="B53" s="41" t="s">
        <v>55</v>
      </c>
      <c r="C53" s="7">
        <v>1</v>
      </c>
      <c r="D53" s="11">
        <f>C53/C58</f>
        <v>3.4129692832764505E-3</v>
      </c>
      <c r="E53" s="7">
        <v>0</v>
      </c>
      <c r="F53" s="24">
        <f t="shared" si="19"/>
        <v>0</v>
      </c>
      <c r="G53" s="7">
        <v>0</v>
      </c>
      <c r="H53" s="25">
        <f t="shared" si="20"/>
        <v>0</v>
      </c>
      <c r="J53" s="3" t="s">
        <v>13</v>
      </c>
      <c r="K53" s="7">
        <v>0</v>
      </c>
      <c r="L53" s="11">
        <f>K53/K75</f>
        <v>0</v>
      </c>
      <c r="M53" s="7">
        <v>0</v>
      </c>
      <c r="N53" s="11">
        <f t="shared" si="21"/>
        <v>0</v>
      </c>
      <c r="O53" s="59">
        <v>0</v>
      </c>
      <c r="P53" s="25">
        <f t="shared" si="22"/>
        <v>0</v>
      </c>
      <c r="Q53" s="35"/>
      <c r="R53" s="3" t="s">
        <v>13</v>
      </c>
      <c r="S53" s="7">
        <v>0</v>
      </c>
      <c r="T53" s="11">
        <f t="shared" si="23"/>
        <v>0</v>
      </c>
      <c r="U53" s="7">
        <v>0</v>
      </c>
      <c r="V53" s="11">
        <f t="shared" si="24"/>
        <v>0</v>
      </c>
      <c r="W53" s="7">
        <v>0</v>
      </c>
      <c r="X53" s="25">
        <f t="shared" si="25"/>
        <v>0</v>
      </c>
      <c r="Y53" s="35"/>
      <c r="AA53" s="3" t="s">
        <v>13</v>
      </c>
      <c r="AB53" s="7">
        <v>0</v>
      </c>
      <c r="AC53" s="11">
        <f>AB53/AB75</f>
        <v>0</v>
      </c>
      <c r="AD53" s="7">
        <v>0</v>
      </c>
      <c r="AE53" s="11">
        <f t="shared" si="26"/>
        <v>0</v>
      </c>
      <c r="AF53" s="7">
        <v>0</v>
      </c>
      <c r="AG53" s="13">
        <f t="shared" si="27"/>
        <v>0</v>
      </c>
      <c r="AI53" s="3" t="s">
        <v>13</v>
      </c>
      <c r="AJ53" s="7">
        <v>0</v>
      </c>
      <c r="AK53" s="11">
        <f t="shared" si="28"/>
        <v>0</v>
      </c>
      <c r="AL53" s="7">
        <v>0</v>
      </c>
      <c r="AM53" s="11">
        <f t="shared" si="29"/>
        <v>0</v>
      </c>
      <c r="AN53" s="7">
        <v>0</v>
      </c>
      <c r="AO53" s="13">
        <f t="shared" si="30"/>
        <v>0</v>
      </c>
    </row>
    <row r="54" spans="2:41" x14ac:dyDescent="0.3">
      <c r="B54" s="41" t="s">
        <v>56</v>
      </c>
      <c r="C54" s="7">
        <v>213</v>
      </c>
      <c r="D54" s="11">
        <f>C54/C58</f>
        <v>0.726962457337884</v>
      </c>
      <c r="E54" s="7">
        <v>10</v>
      </c>
      <c r="F54" s="24">
        <f t="shared" si="19"/>
        <v>0.33333333333333331</v>
      </c>
      <c r="G54" s="7">
        <v>13</v>
      </c>
      <c r="H54" s="25">
        <f t="shared" si="20"/>
        <v>0.38235294117647056</v>
      </c>
      <c r="J54" s="3" t="s">
        <v>14</v>
      </c>
      <c r="K54" s="7">
        <v>80</v>
      </c>
      <c r="L54" s="11">
        <f>K54/K75</f>
        <v>9.2915214866434379E-2</v>
      </c>
      <c r="M54" s="7">
        <v>0</v>
      </c>
      <c r="N54" s="11">
        <f t="shared" si="21"/>
        <v>0</v>
      </c>
      <c r="O54" s="59">
        <v>1</v>
      </c>
      <c r="P54" s="25">
        <f t="shared" si="22"/>
        <v>5.5555555555555552E-2</v>
      </c>
      <c r="Q54" s="35"/>
      <c r="R54" s="3" t="s">
        <v>14</v>
      </c>
      <c r="S54" s="7">
        <v>53</v>
      </c>
      <c r="T54" s="11">
        <f t="shared" si="23"/>
        <v>9.2173913043478259E-2</v>
      </c>
      <c r="U54" s="7">
        <v>0</v>
      </c>
      <c r="V54" s="11">
        <f t="shared" si="24"/>
        <v>0</v>
      </c>
      <c r="W54" s="7">
        <v>0</v>
      </c>
      <c r="X54" s="25">
        <f t="shared" si="25"/>
        <v>0</v>
      </c>
      <c r="Y54" s="35"/>
      <c r="AA54" s="3" t="s">
        <v>14</v>
      </c>
      <c r="AB54" s="7">
        <v>12</v>
      </c>
      <c r="AC54" s="11">
        <f>AB54/AB75</f>
        <v>9.0225563909774431E-2</v>
      </c>
      <c r="AD54" s="7">
        <v>0</v>
      </c>
      <c r="AE54" s="11">
        <f t="shared" si="26"/>
        <v>0</v>
      </c>
      <c r="AF54" s="7">
        <v>9</v>
      </c>
      <c r="AG54" s="13">
        <f t="shared" si="27"/>
        <v>0.25714285714285712</v>
      </c>
      <c r="AI54" s="3" t="s">
        <v>14</v>
      </c>
      <c r="AJ54" s="7">
        <v>71</v>
      </c>
      <c r="AK54" s="11">
        <f t="shared" si="28"/>
        <v>9.2810457516339873E-2</v>
      </c>
      <c r="AL54" s="7">
        <v>0</v>
      </c>
      <c r="AM54" s="11">
        <f t="shared" si="29"/>
        <v>0</v>
      </c>
      <c r="AN54" s="7">
        <v>0</v>
      </c>
      <c r="AO54" s="13">
        <f t="shared" si="30"/>
        <v>0</v>
      </c>
    </row>
    <row r="55" spans="2:41" x14ac:dyDescent="0.3">
      <c r="B55" s="41" t="s">
        <v>57</v>
      </c>
      <c r="C55" s="7">
        <v>9</v>
      </c>
      <c r="D55" s="11">
        <f>C55/C58</f>
        <v>3.0716723549488054E-2</v>
      </c>
      <c r="E55" s="7">
        <v>0</v>
      </c>
      <c r="F55" s="24">
        <f t="shared" si="19"/>
        <v>0</v>
      </c>
      <c r="G55" s="7">
        <v>1</v>
      </c>
      <c r="H55" s="25">
        <f t="shared" si="20"/>
        <v>2.9411764705882353E-2</v>
      </c>
      <c r="J55" s="3" t="s">
        <v>3</v>
      </c>
      <c r="K55" s="7">
        <v>0</v>
      </c>
      <c r="L55" s="11">
        <f>K55/K75</f>
        <v>0</v>
      </c>
      <c r="M55" s="7">
        <v>0</v>
      </c>
      <c r="N55" s="11">
        <f t="shared" si="21"/>
        <v>0</v>
      </c>
      <c r="O55" s="59">
        <v>1</v>
      </c>
      <c r="P55" s="25">
        <f t="shared" si="22"/>
        <v>5.5555555555555552E-2</v>
      </c>
      <c r="Q55" s="35"/>
      <c r="R55" s="3" t="s">
        <v>3</v>
      </c>
      <c r="S55" s="7">
        <v>0</v>
      </c>
      <c r="T55" s="11">
        <f t="shared" si="23"/>
        <v>0</v>
      </c>
      <c r="U55" s="7">
        <v>0</v>
      </c>
      <c r="V55" s="11">
        <f t="shared" si="24"/>
        <v>0</v>
      </c>
      <c r="W55" s="7">
        <v>0</v>
      </c>
      <c r="X55" s="25">
        <f t="shared" si="25"/>
        <v>0</v>
      </c>
      <c r="Y55" s="35"/>
      <c r="AA55" s="3" t="s">
        <v>3</v>
      </c>
      <c r="AB55" s="7">
        <v>0</v>
      </c>
      <c r="AC55" s="11">
        <f>AB55/AB75</f>
        <v>0</v>
      </c>
      <c r="AD55" s="7">
        <v>0</v>
      </c>
      <c r="AE55" s="11">
        <f t="shared" si="26"/>
        <v>0</v>
      </c>
      <c r="AF55" s="7">
        <v>0</v>
      </c>
      <c r="AG55" s="13">
        <f t="shared" si="27"/>
        <v>0</v>
      </c>
      <c r="AI55" s="3" t="s">
        <v>3</v>
      </c>
      <c r="AJ55" s="7">
        <v>0</v>
      </c>
      <c r="AK55" s="11">
        <f t="shared" si="28"/>
        <v>0</v>
      </c>
      <c r="AL55" s="7">
        <v>0</v>
      </c>
      <c r="AM55" s="11">
        <f t="shared" si="29"/>
        <v>0</v>
      </c>
      <c r="AN55" s="7">
        <v>0</v>
      </c>
      <c r="AO55" s="13">
        <f t="shared" si="30"/>
        <v>0</v>
      </c>
    </row>
    <row r="56" spans="2:41" x14ac:dyDescent="0.3">
      <c r="B56" s="41" t="s">
        <v>58</v>
      </c>
      <c r="C56" s="7">
        <v>5</v>
      </c>
      <c r="D56" s="11">
        <f>C56/C58</f>
        <v>1.7064846416382253E-2</v>
      </c>
      <c r="E56" s="7">
        <v>1</v>
      </c>
      <c r="F56" s="24">
        <f t="shared" si="19"/>
        <v>3.3333333333333333E-2</v>
      </c>
      <c r="G56" s="7">
        <v>1</v>
      </c>
      <c r="H56" s="25">
        <f t="shared" si="20"/>
        <v>2.9411764705882353E-2</v>
      </c>
      <c r="J56" s="3" t="s">
        <v>30</v>
      </c>
      <c r="K56" s="7">
        <v>0</v>
      </c>
      <c r="L56" s="11">
        <f>K56/K75</f>
        <v>0</v>
      </c>
      <c r="M56" s="7">
        <v>0</v>
      </c>
      <c r="N56" s="11">
        <f t="shared" si="21"/>
        <v>0</v>
      </c>
      <c r="O56" s="59">
        <v>0</v>
      </c>
      <c r="P56" s="25">
        <f t="shared" si="22"/>
        <v>0</v>
      </c>
      <c r="Q56" s="34"/>
      <c r="R56" s="3" t="s">
        <v>30</v>
      </c>
      <c r="S56" s="7">
        <v>0</v>
      </c>
      <c r="T56" s="11">
        <f t="shared" si="23"/>
        <v>0</v>
      </c>
      <c r="U56" s="7">
        <v>0</v>
      </c>
      <c r="V56" s="11">
        <f t="shared" si="24"/>
        <v>0</v>
      </c>
      <c r="W56" s="7">
        <v>0</v>
      </c>
      <c r="X56" s="25">
        <f t="shared" si="25"/>
        <v>0</v>
      </c>
      <c r="Y56" s="34"/>
      <c r="AA56" s="3" t="s">
        <v>30</v>
      </c>
      <c r="AB56" s="7">
        <v>0</v>
      </c>
      <c r="AC56" s="11">
        <f>AB56/AB75</f>
        <v>0</v>
      </c>
      <c r="AD56" s="7">
        <v>0</v>
      </c>
      <c r="AE56" s="11">
        <f t="shared" si="26"/>
        <v>0</v>
      </c>
      <c r="AF56" s="7">
        <v>0</v>
      </c>
      <c r="AG56" s="13">
        <f t="shared" si="27"/>
        <v>0</v>
      </c>
      <c r="AI56" s="3" t="s">
        <v>30</v>
      </c>
      <c r="AJ56" s="7">
        <v>0</v>
      </c>
      <c r="AK56" s="11">
        <f t="shared" si="28"/>
        <v>0</v>
      </c>
      <c r="AL56" s="7">
        <v>0</v>
      </c>
      <c r="AM56" s="11">
        <f t="shared" si="29"/>
        <v>0</v>
      </c>
      <c r="AN56" s="7">
        <v>0</v>
      </c>
      <c r="AO56" s="13">
        <f t="shared" si="30"/>
        <v>0</v>
      </c>
    </row>
    <row r="57" spans="2:41" ht="15" thickBot="1" x14ac:dyDescent="0.35">
      <c r="B57" s="43" t="s">
        <v>59</v>
      </c>
      <c r="C57" s="44">
        <v>22</v>
      </c>
      <c r="D57" s="45">
        <f>C57/C58</f>
        <v>7.5085324232081918E-2</v>
      </c>
      <c r="E57" s="7">
        <v>3</v>
      </c>
      <c r="F57" s="24">
        <f>E57/$E$58</f>
        <v>0.1</v>
      </c>
      <c r="G57" s="44">
        <v>3</v>
      </c>
      <c r="H57" s="46">
        <f>G57/$G$58</f>
        <v>8.8235294117647065E-2</v>
      </c>
      <c r="J57" s="3" t="s">
        <v>31</v>
      </c>
      <c r="K57" s="7">
        <v>0</v>
      </c>
      <c r="L57" s="11">
        <f t="shared" ref="L57:L74" si="31">K57/$K$75</f>
        <v>0</v>
      </c>
      <c r="M57" s="7">
        <v>0</v>
      </c>
      <c r="N57" s="11">
        <f t="shared" si="21"/>
        <v>0</v>
      </c>
      <c r="O57" s="59">
        <v>0</v>
      </c>
      <c r="P57" s="25">
        <f t="shared" si="22"/>
        <v>0</v>
      </c>
      <c r="Q57" s="34"/>
      <c r="R57" s="3" t="s">
        <v>31</v>
      </c>
      <c r="S57" s="7">
        <v>0</v>
      </c>
      <c r="T57" s="11">
        <f t="shared" si="23"/>
        <v>0</v>
      </c>
      <c r="U57" s="7">
        <v>0</v>
      </c>
      <c r="V57" s="11">
        <f t="shared" si="24"/>
        <v>0</v>
      </c>
      <c r="W57" s="7">
        <v>0</v>
      </c>
      <c r="X57" s="25">
        <f t="shared" si="25"/>
        <v>0</v>
      </c>
      <c r="Y57" s="34"/>
      <c r="AA57" s="3" t="s">
        <v>31</v>
      </c>
      <c r="AB57" s="7">
        <v>0</v>
      </c>
      <c r="AC57" s="11">
        <f>AB57/$AB$75</f>
        <v>0</v>
      </c>
      <c r="AD57" s="7">
        <v>0</v>
      </c>
      <c r="AE57" s="11">
        <f t="shared" si="26"/>
        <v>0</v>
      </c>
      <c r="AF57" s="7">
        <v>0</v>
      </c>
      <c r="AG57" s="13">
        <f t="shared" si="27"/>
        <v>0</v>
      </c>
      <c r="AI57" s="3" t="s">
        <v>31</v>
      </c>
      <c r="AJ57" s="7">
        <v>0</v>
      </c>
      <c r="AK57" s="11">
        <f t="shared" si="28"/>
        <v>0</v>
      </c>
      <c r="AL57" s="7">
        <v>0</v>
      </c>
      <c r="AM57" s="11">
        <f t="shared" si="29"/>
        <v>0</v>
      </c>
      <c r="AN57" s="7">
        <v>0</v>
      </c>
      <c r="AO57" s="13">
        <f t="shared" si="30"/>
        <v>0</v>
      </c>
    </row>
    <row r="58" spans="2:41" ht="15" thickBot="1" x14ac:dyDescent="0.35">
      <c r="B58" s="47" t="s">
        <v>25</v>
      </c>
      <c r="C58" s="109">
        <f>SUM(C47:C57)</f>
        <v>293</v>
      </c>
      <c r="D58" s="110"/>
      <c r="E58" s="109">
        <f>SUM(E47:E57)</f>
        <v>30</v>
      </c>
      <c r="F58" s="110"/>
      <c r="G58" s="109">
        <f>SUM(G47:G57)</f>
        <v>34</v>
      </c>
      <c r="H58" s="110"/>
      <c r="J58" s="3" t="s">
        <v>32</v>
      </c>
      <c r="K58" s="31">
        <v>0</v>
      </c>
      <c r="L58" s="11">
        <f t="shared" si="31"/>
        <v>0</v>
      </c>
      <c r="M58" s="31">
        <v>0</v>
      </c>
      <c r="N58" s="11">
        <f t="shared" si="21"/>
        <v>0</v>
      </c>
      <c r="O58" s="67">
        <v>0</v>
      </c>
      <c r="P58" s="25">
        <f t="shared" si="22"/>
        <v>0</v>
      </c>
      <c r="Q58" s="35"/>
      <c r="R58" s="3" t="s">
        <v>32</v>
      </c>
      <c r="S58" s="31">
        <v>0</v>
      </c>
      <c r="T58" s="11">
        <f t="shared" si="23"/>
        <v>0</v>
      </c>
      <c r="U58" s="31">
        <v>0</v>
      </c>
      <c r="V58" s="11">
        <f t="shared" si="24"/>
        <v>0</v>
      </c>
      <c r="W58" s="31">
        <v>3</v>
      </c>
      <c r="X58" s="25">
        <f t="shared" si="25"/>
        <v>0.375</v>
      </c>
      <c r="Y58" s="35"/>
      <c r="AA58" s="3" t="s">
        <v>32</v>
      </c>
      <c r="AB58" s="31">
        <v>0</v>
      </c>
      <c r="AC58" s="11">
        <f t="shared" ref="AC58:AC72" si="32">AB58/$AB$75</f>
        <v>0</v>
      </c>
      <c r="AD58" s="31">
        <v>0</v>
      </c>
      <c r="AE58" s="11">
        <f t="shared" si="26"/>
        <v>0</v>
      </c>
      <c r="AF58" s="31">
        <v>0</v>
      </c>
      <c r="AG58" s="13">
        <f t="shared" si="27"/>
        <v>0</v>
      </c>
      <c r="AI58" s="3" t="s">
        <v>32</v>
      </c>
      <c r="AJ58" s="31">
        <v>0</v>
      </c>
      <c r="AK58" s="11">
        <f t="shared" si="28"/>
        <v>0</v>
      </c>
      <c r="AL58" s="31">
        <v>0</v>
      </c>
      <c r="AM58" s="11">
        <f t="shared" si="29"/>
        <v>0</v>
      </c>
      <c r="AN58" s="31">
        <v>0</v>
      </c>
      <c r="AO58" s="13">
        <f t="shared" si="30"/>
        <v>0</v>
      </c>
    </row>
    <row r="59" spans="2:41" ht="15" thickBot="1" x14ac:dyDescent="0.35">
      <c r="B59" s="32" t="s">
        <v>26</v>
      </c>
      <c r="C59" s="112">
        <f>C58/($C$58+$E$58+$G$58)</f>
        <v>0.82072829131652658</v>
      </c>
      <c r="D59" s="113"/>
      <c r="E59" s="112">
        <f>E58/($C$58+$E$58+$G$58)</f>
        <v>8.4033613445378158E-2</v>
      </c>
      <c r="F59" s="113"/>
      <c r="G59" s="112">
        <f>G58/($C$58+$E$58+$G$58)</f>
        <v>9.5238095238095233E-2</v>
      </c>
      <c r="H59" s="113"/>
      <c r="J59" s="3" t="s">
        <v>33</v>
      </c>
      <c r="K59" s="7">
        <v>0</v>
      </c>
      <c r="L59" s="11">
        <f t="shared" si="31"/>
        <v>0</v>
      </c>
      <c r="M59" s="7">
        <v>0</v>
      </c>
      <c r="N59" s="11">
        <f t="shared" si="21"/>
        <v>0</v>
      </c>
      <c r="O59" s="59">
        <v>0</v>
      </c>
      <c r="P59" s="25">
        <f t="shared" si="22"/>
        <v>0</v>
      </c>
      <c r="Q59" s="34"/>
      <c r="R59" s="3" t="s">
        <v>33</v>
      </c>
      <c r="S59" s="7">
        <v>0</v>
      </c>
      <c r="T59" s="11">
        <f t="shared" si="23"/>
        <v>0</v>
      </c>
      <c r="U59" s="7">
        <v>0</v>
      </c>
      <c r="V59" s="11">
        <f t="shared" si="24"/>
        <v>0</v>
      </c>
      <c r="W59" s="7">
        <v>0</v>
      </c>
      <c r="X59" s="25">
        <f t="shared" si="25"/>
        <v>0</v>
      </c>
      <c r="Y59" s="34"/>
      <c r="AA59" s="3" t="s">
        <v>33</v>
      </c>
      <c r="AB59" s="7">
        <v>0</v>
      </c>
      <c r="AC59" s="11">
        <f t="shared" si="32"/>
        <v>0</v>
      </c>
      <c r="AD59" s="7">
        <v>0</v>
      </c>
      <c r="AE59" s="11">
        <f t="shared" si="26"/>
        <v>0</v>
      </c>
      <c r="AF59" s="7">
        <v>0</v>
      </c>
      <c r="AG59" s="13">
        <f t="shared" si="27"/>
        <v>0</v>
      </c>
      <c r="AI59" s="3" t="s">
        <v>33</v>
      </c>
      <c r="AJ59" s="7">
        <v>0</v>
      </c>
      <c r="AK59" s="11">
        <f t="shared" si="28"/>
        <v>0</v>
      </c>
      <c r="AL59" s="7">
        <v>0</v>
      </c>
      <c r="AM59" s="11">
        <f t="shared" si="29"/>
        <v>0</v>
      </c>
      <c r="AN59" s="7">
        <v>0</v>
      </c>
      <c r="AO59" s="13">
        <f t="shared" si="30"/>
        <v>0</v>
      </c>
    </row>
    <row r="60" spans="2:41" ht="15" thickBot="1" x14ac:dyDescent="0.35">
      <c r="B60" s="48" t="s">
        <v>23</v>
      </c>
      <c r="C60" s="114">
        <v>0.85</v>
      </c>
      <c r="D60" s="115"/>
      <c r="E60" s="114">
        <v>0.1</v>
      </c>
      <c r="F60" s="115"/>
      <c r="G60" s="114">
        <v>0.05</v>
      </c>
      <c r="H60" s="115"/>
      <c r="J60" s="3" t="s">
        <v>18</v>
      </c>
      <c r="K60" s="7">
        <v>0</v>
      </c>
      <c r="L60" s="11">
        <f t="shared" si="31"/>
        <v>0</v>
      </c>
      <c r="M60" s="7">
        <v>0</v>
      </c>
      <c r="N60" s="11">
        <f t="shared" si="21"/>
        <v>0</v>
      </c>
      <c r="O60" s="59">
        <v>0</v>
      </c>
      <c r="P60" s="25">
        <f t="shared" si="22"/>
        <v>0</v>
      </c>
      <c r="Q60" s="34"/>
      <c r="R60" s="3" t="s">
        <v>18</v>
      </c>
      <c r="S60" s="7">
        <v>0</v>
      </c>
      <c r="T60" s="11">
        <f t="shared" si="23"/>
        <v>0</v>
      </c>
      <c r="U60" s="7">
        <v>0</v>
      </c>
      <c r="V60" s="11">
        <f t="shared" si="24"/>
        <v>0</v>
      </c>
      <c r="W60" s="7">
        <v>0</v>
      </c>
      <c r="X60" s="25">
        <f t="shared" si="25"/>
        <v>0</v>
      </c>
      <c r="Y60" s="34"/>
      <c r="AA60" s="3" t="s">
        <v>18</v>
      </c>
      <c r="AB60" s="7">
        <v>0</v>
      </c>
      <c r="AC60" s="11">
        <f t="shared" si="32"/>
        <v>0</v>
      </c>
      <c r="AD60" s="7">
        <v>0</v>
      </c>
      <c r="AE60" s="11">
        <f t="shared" si="26"/>
        <v>0</v>
      </c>
      <c r="AF60" s="7">
        <v>0</v>
      </c>
      <c r="AG60" s="13">
        <f t="shared" si="27"/>
        <v>0</v>
      </c>
      <c r="AI60" s="3" t="s">
        <v>18</v>
      </c>
      <c r="AJ60" s="7">
        <v>0</v>
      </c>
      <c r="AK60" s="11">
        <f t="shared" si="28"/>
        <v>0</v>
      </c>
      <c r="AL60" s="7">
        <v>0</v>
      </c>
      <c r="AM60" s="11">
        <f t="shared" si="29"/>
        <v>0</v>
      </c>
      <c r="AN60" s="7">
        <v>0</v>
      </c>
      <c r="AO60" s="13">
        <f t="shared" si="30"/>
        <v>0</v>
      </c>
    </row>
    <row r="61" spans="2:41" ht="15" thickBot="1" x14ac:dyDescent="0.35">
      <c r="B61" s="49" t="s">
        <v>24</v>
      </c>
      <c r="C61" s="102">
        <f>C59-C60</f>
        <v>-2.9271708683473396E-2</v>
      </c>
      <c r="D61" s="103"/>
      <c r="E61" s="102">
        <f>E60-E59</f>
        <v>1.5966386554621848E-2</v>
      </c>
      <c r="F61" s="103"/>
      <c r="G61" s="102">
        <f>G60-G59</f>
        <v>-4.523809523809523E-2</v>
      </c>
      <c r="H61" s="103"/>
      <c r="J61" s="3" t="s">
        <v>62</v>
      </c>
      <c r="K61" s="7">
        <v>561</v>
      </c>
      <c r="L61" s="11">
        <f t="shared" si="31"/>
        <v>0.65156794425087106</v>
      </c>
      <c r="M61" s="7">
        <v>3</v>
      </c>
      <c r="N61" s="11">
        <f t="shared" si="21"/>
        <v>0.375</v>
      </c>
      <c r="O61" s="59">
        <v>9</v>
      </c>
      <c r="P61" s="25">
        <f t="shared" si="22"/>
        <v>0.5</v>
      </c>
      <c r="Q61" s="34"/>
      <c r="R61" s="3" t="s">
        <v>34</v>
      </c>
      <c r="S61" s="7">
        <v>0</v>
      </c>
      <c r="T61" s="11">
        <f t="shared" si="23"/>
        <v>0</v>
      </c>
      <c r="U61" s="7">
        <v>0</v>
      </c>
      <c r="V61" s="11">
        <f t="shared" si="24"/>
        <v>0</v>
      </c>
      <c r="W61" s="7">
        <v>0</v>
      </c>
      <c r="X61" s="25">
        <f t="shared" si="25"/>
        <v>0</v>
      </c>
      <c r="Y61" s="34"/>
      <c r="AA61" s="3" t="s">
        <v>34</v>
      </c>
      <c r="AB61" s="7">
        <v>0</v>
      </c>
      <c r="AC61" s="11">
        <f t="shared" si="32"/>
        <v>0</v>
      </c>
      <c r="AD61" s="7">
        <v>0</v>
      </c>
      <c r="AE61" s="11">
        <f t="shared" si="26"/>
        <v>0</v>
      </c>
      <c r="AF61" s="7">
        <v>0</v>
      </c>
      <c r="AG61" s="13">
        <f t="shared" si="27"/>
        <v>0</v>
      </c>
      <c r="AI61" s="3" t="s">
        <v>76</v>
      </c>
      <c r="AJ61" s="7">
        <v>0</v>
      </c>
      <c r="AK61" s="11">
        <f t="shared" si="28"/>
        <v>0</v>
      </c>
      <c r="AL61" s="7">
        <v>1</v>
      </c>
      <c r="AM61" s="11">
        <f t="shared" si="29"/>
        <v>0.1</v>
      </c>
      <c r="AN61" s="7">
        <v>0</v>
      </c>
      <c r="AO61" s="13">
        <f t="shared" si="30"/>
        <v>0</v>
      </c>
    </row>
    <row r="62" spans="2:41" x14ac:dyDescent="0.3">
      <c r="B62" s="50"/>
      <c r="C62" s="29"/>
      <c r="D62" s="34"/>
      <c r="E62" s="29"/>
      <c r="F62" s="36"/>
      <c r="G62" s="29"/>
      <c r="H62" s="36"/>
      <c r="J62" s="3" t="s">
        <v>35</v>
      </c>
      <c r="K62" s="7">
        <v>0</v>
      </c>
      <c r="L62" s="11">
        <f t="shared" si="31"/>
        <v>0</v>
      </c>
      <c r="M62" s="7">
        <v>0</v>
      </c>
      <c r="N62" s="11">
        <f t="shared" si="21"/>
        <v>0</v>
      </c>
      <c r="O62" s="59">
        <v>0</v>
      </c>
      <c r="P62" s="25">
        <f t="shared" si="22"/>
        <v>0</v>
      </c>
      <c r="Q62" s="34"/>
      <c r="R62" s="3" t="s">
        <v>62</v>
      </c>
      <c r="S62" s="7">
        <v>374</v>
      </c>
      <c r="T62" s="11">
        <f t="shared" si="23"/>
        <v>0.65043478260869569</v>
      </c>
      <c r="U62" s="66">
        <v>17</v>
      </c>
      <c r="V62" s="11">
        <f t="shared" si="24"/>
        <v>0.80952380952380953</v>
      </c>
      <c r="W62" s="7">
        <v>2</v>
      </c>
      <c r="X62" s="25">
        <f t="shared" si="25"/>
        <v>0.25</v>
      </c>
      <c r="Y62" s="34"/>
      <c r="AA62" s="3" t="s">
        <v>62</v>
      </c>
      <c r="AB62" s="7">
        <v>87</v>
      </c>
      <c r="AC62" s="11">
        <f t="shared" si="32"/>
        <v>0.65413533834586468</v>
      </c>
      <c r="AD62" s="7">
        <v>10</v>
      </c>
      <c r="AE62" s="11">
        <f t="shared" si="26"/>
        <v>0.83333333333333337</v>
      </c>
      <c r="AF62" s="7">
        <v>19</v>
      </c>
      <c r="AG62" s="13">
        <f t="shared" si="27"/>
        <v>0.54285714285714282</v>
      </c>
      <c r="AI62" s="3" t="s">
        <v>62</v>
      </c>
      <c r="AJ62" s="7">
        <v>498</v>
      </c>
      <c r="AK62" s="11">
        <f t="shared" si="28"/>
        <v>0.65098039215686276</v>
      </c>
      <c r="AL62" s="7">
        <v>1</v>
      </c>
      <c r="AM62" s="11">
        <f t="shared" si="29"/>
        <v>0.1</v>
      </c>
      <c r="AN62" s="7">
        <v>0</v>
      </c>
      <c r="AO62" s="13">
        <f t="shared" si="30"/>
        <v>0</v>
      </c>
    </row>
    <row r="63" spans="2:41" x14ac:dyDescent="0.3">
      <c r="B63" s="33"/>
      <c r="C63" s="29"/>
      <c r="D63" s="34"/>
      <c r="E63" s="29"/>
      <c r="F63" s="36"/>
      <c r="G63" s="29"/>
      <c r="H63" s="36"/>
      <c r="J63" s="3" t="s">
        <v>20</v>
      </c>
      <c r="K63" s="7">
        <v>0</v>
      </c>
      <c r="L63" s="11">
        <f t="shared" si="31"/>
        <v>0</v>
      </c>
      <c r="M63" s="7">
        <v>0</v>
      </c>
      <c r="N63" s="11">
        <f t="shared" si="21"/>
        <v>0</v>
      </c>
      <c r="O63" s="59">
        <v>0</v>
      </c>
      <c r="P63" s="25">
        <f t="shared" si="22"/>
        <v>0</v>
      </c>
      <c r="Q63" s="34"/>
      <c r="R63" s="3" t="s">
        <v>20</v>
      </c>
      <c r="S63" s="7">
        <v>0</v>
      </c>
      <c r="T63" s="11">
        <f t="shared" si="23"/>
        <v>0</v>
      </c>
      <c r="U63" s="7">
        <v>0</v>
      </c>
      <c r="V63" s="11">
        <f t="shared" si="24"/>
        <v>0</v>
      </c>
      <c r="W63" s="7">
        <v>0</v>
      </c>
      <c r="X63" s="25">
        <f t="shared" si="25"/>
        <v>0</v>
      </c>
      <c r="Y63" s="34"/>
      <c r="AA63" s="3" t="s">
        <v>20</v>
      </c>
      <c r="AB63" s="7">
        <v>0</v>
      </c>
      <c r="AC63" s="11">
        <f t="shared" si="32"/>
        <v>0</v>
      </c>
      <c r="AD63" s="7">
        <v>0</v>
      </c>
      <c r="AE63" s="11">
        <f t="shared" si="26"/>
        <v>0</v>
      </c>
      <c r="AF63" s="7">
        <v>0</v>
      </c>
      <c r="AG63" s="13">
        <f t="shared" si="27"/>
        <v>0</v>
      </c>
      <c r="AI63" s="3" t="s">
        <v>20</v>
      </c>
      <c r="AJ63" s="7">
        <v>0</v>
      </c>
      <c r="AK63" s="11">
        <f t="shared" si="28"/>
        <v>0</v>
      </c>
      <c r="AL63" s="7">
        <v>0</v>
      </c>
      <c r="AM63" s="11">
        <f t="shared" si="29"/>
        <v>0</v>
      </c>
      <c r="AN63" s="7">
        <v>0</v>
      </c>
      <c r="AO63" s="13">
        <f t="shared" si="30"/>
        <v>0</v>
      </c>
    </row>
    <row r="64" spans="2:41" x14ac:dyDescent="0.3">
      <c r="B64" s="33"/>
      <c r="C64" s="29"/>
      <c r="D64" s="34"/>
      <c r="E64" s="29"/>
      <c r="F64" s="36"/>
      <c r="G64" s="29"/>
      <c r="H64" s="36"/>
      <c r="J64" s="3" t="s">
        <v>19</v>
      </c>
      <c r="K64" s="7">
        <v>0</v>
      </c>
      <c r="L64" s="11">
        <f t="shared" si="31"/>
        <v>0</v>
      </c>
      <c r="M64" s="7">
        <v>0</v>
      </c>
      <c r="N64" s="11">
        <f t="shared" si="21"/>
        <v>0</v>
      </c>
      <c r="O64" s="59">
        <v>0</v>
      </c>
      <c r="P64" s="25">
        <f t="shared" si="22"/>
        <v>0</v>
      </c>
      <c r="Q64" s="34"/>
      <c r="R64" s="3" t="s">
        <v>19</v>
      </c>
      <c r="S64" s="7">
        <v>0</v>
      </c>
      <c r="T64" s="11">
        <f t="shared" si="23"/>
        <v>0</v>
      </c>
      <c r="U64" s="7">
        <v>0</v>
      </c>
      <c r="V64" s="11">
        <f t="shared" si="24"/>
        <v>0</v>
      </c>
      <c r="W64" s="7">
        <v>1</v>
      </c>
      <c r="X64" s="25">
        <f t="shared" si="25"/>
        <v>0.125</v>
      </c>
      <c r="Y64" s="34"/>
      <c r="AA64" s="3" t="s">
        <v>19</v>
      </c>
      <c r="AB64" s="7">
        <v>0</v>
      </c>
      <c r="AC64" s="11">
        <f t="shared" si="32"/>
        <v>0</v>
      </c>
      <c r="AD64" s="7">
        <v>0</v>
      </c>
      <c r="AE64" s="11">
        <f t="shared" si="26"/>
        <v>0</v>
      </c>
      <c r="AF64" s="7">
        <v>0</v>
      </c>
      <c r="AG64" s="13">
        <f t="shared" si="27"/>
        <v>0</v>
      </c>
      <c r="AI64" s="3" t="s">
        <v>19</v>
      </c>
      <c r="AJ64" s="7">
        <v>0</v>
      </c>
      <c r="AK64" s="11">
        <f t="shared" si="28"/>
        <v>0</v>
      </c>
      <c r="AL64" s="7">
        <v>0</v>
      </c>
      <c r="AM64" s="11">
        <f t="shared" si="29"/>
        <v>0</v>
      </c>
      <c r="AN64" s="7">
        <v>0</v>
      </c>
      <c r="AO64" s="13">
        <f t="shared" si="30"/>
        <v>0</v>
      </c>
    </row>
    <row r="65" spans="2:41" x14ac:dyDescent="0.3">
      <c r="B65" s="33"/>
      <c r="C65" s="29"/>
      <c r="D65" s="34"/>
      <c r="E65" s="29"/>
      <c r="F65" s="36"/>
      <c r="G65" s="29"/>
      <c r="H65" s="36"/>
      <c r="J65" s="3" t="s">
        <v>15</v>
      </c>
      <c r="K65" s="7">
        <v>0</v>
      </c>
      <c r="L65" s="11">
        <f t="shared" si="31"/>
        <v>0</v>
      </c>
      <c r="M65" s="7">
        <v>0</v>
      </c>
      <c r="N65" s="11">
        <f t="shared" si="21"/>
        <v>0</v>
      </c>
      <c r="O65" s="59">
        <v>0</v>
      </c>
      <c r="P65" s="25">
        <f t="shared" si="22"/>
        <v>0</v>
      </c>
      <c r="Q65" s="34"/>
      <c r="R65" s="3" t="s">
        <v>15</v>
      </c>
      <c r="S65" s="7">
        <v>0</v>
      </c>
      <c r="T65" s="11">
        <f t="shared" si="23"/>
        <v>0</v>
      </c>
      <c r="U65" s="7">
        <v>0</v>
      </c>
      <c r="V65" s="11">
        <f t="shared" si="24"/>
        <v>0</v>
      </c>
      <c r="W65" s="7">
        <v>0</v>
      </c>
      <c r="X65" s="25">
        <f t="shared" si="25"/>
        <v>0</v>
      </c>
      <c r="Y65" s="34"/>
      <c r="AA65" s="3" t="s">
        <v>15</v>
      </c>
      <c r="AB65" s="7">
        <v>0</v>
      </c>
      <c r="AC65" s="11">
        <f t="shared" si="32"/>
        <v>0</v>
      </c>
      <c r="AD65" s="7">
        <v>0</v>
      </c>
      <c r="AE65" s="11">
        <f t="shared" si="26"/>
        <v>0</v>
      </c>
      <c r="AF65" s="7">
        <v>0</v>
      </c>
      <c r="AG65" s="13">
        <f t="shared" si="27"/>
        <v>0</v>
      </c>
      <c r="AI65" s="3" t="s">
        <v>15</v>
      </c>
      <c r="AJ65" s="7">
        <v>0</v>
      </c>
      <c r="AK65" s="11">
        <f t="shared" si="28"/>
        <v>0</v>
      </c>
      <c r="AL65" s="7">
        <v>0</v>
      </c>
      <c r="AM65" s="11">
        <f t="shared" si="29"/>
        <v>0</v>
      </c>
      <c r="AN65" s="7">
        <v>0</v>
      </c>
      <c r="AO65" s="13">
        <f t="shared" si="30"/>
        <v>0</v>
      </c>
    </row>
    <row r="66" spans="2:41" x14ac:dyDescent="0.3">
      <c r="B66" s="33"/>
      <c r="C66" s="29"/>
      <c r="D66" s="34"/>
      <c r="E66" s="29"/>
      <c r="F66" s="36"/>
      <c r="G66" s="29"/>
      <c r="H66" s="36"/>
      <c r="J66" s="3" t="s">
        <v>36</v>
      </c>
      <c r="K66" s="7">
        <v>0</v>
      </c>
      <c r="L66" s="11">
        <f t="shared" si="31"/>
        <v>0</v>
      </c>
      <c r="M66" s="7">
        <v>0</v>
      </c>
      <c r="N66" s="11">
        <f t="shared" si="21"/>
        <v>0</v>
      </c>
      <c r="O66" s="59">
        <v>0</v>
      </c>
      <c r="P66" s="25">
        <f t="shared" si="22"/>
        <v>0</v>
      </c>
      <c r="Q66" s="34"/>
      <c r="R66" s="3" t="s">
        <v>36</v>
      </c>
      <c r="S66" s="7">
        <v>0</v>
      </c>
      <c r="T66" s="11">
        <f t="shared" si="23"/>
        <v>0</v>
      </c>
      <c r="U66" s="7">
        <v>0</v>
      </c>
      <c r="V66" s="11">
        <f t="shared" si="24"/>
        <v>0</v>
      </c>
      <c r="W66" s="7">
        <v>0</v>
      </c>
      <c r="X66" s="25">
        <f t="shared" si="25"/>
        <v>0</v>
      </c>
      <c r="Y66" s="34"/>
      <c r="AA66" s="3" t="s">
        <v>36</v>
      </c>
      <c r="AB66" s="7">
        <v>0</v>
      </c>
      <c r="AC66" s="11">
        <f t="shared" si="32"/>
        <v>0</v>
      </c>
      <c r="AD66" s="7">
        <v>0</v>
      </c>
      <c r="AE66" s="11">
        <f t="shared" si="26"/>
        <v>0</v>
      </c>
      <c r="AF66" s="7">
        <v>0</v>
      </c>
      <c r="AG66" s="13">
        <f t="shared" si="27"/>
        <v>0</v>
      </c>
      <c r="AI66" s="3" t="s">
        <v>36</v>
      </c>
      <c r="AJ66" s="7">
        <v>0</v>
      </c>
      <c r="AK66" s="11">
        <f t="shared" si="28"/>
        <v>0</v>
      </c>
      <c r="AL66" s="7">
        <v>0</v>
      </c>
      <c r="AM66" s="11">
        <f t="shared" si="29"/>
        <v>0</v>
      </c>
      <c r="AN66" s="7">
        <v>0</v>
      </c>
      <c r="AO66" s="13">
        <f t="shared" si="30"/>
        <v>0</v>
      </c>
    </row>
    <row r="67" spans="2:41" x14ac:dyDescent="0.3">
      <c r="B67" s="33"/>
      <c r="C67" s="29"/>
      <c r="D67" s="34"/>
      <c r="E67" s="29"/>
      <c r="F67" s="36"/>
      <c r="G67" s="29"/>
      <c r="H67" s="36"/>
      <c r="J67" s="3" t="s">
        <v>37</v>
      </c>
      <c r="K67" s="7">
        <v>0</v>
      </c>
      <c r="L67" s="11">
        <f t="shared" si="31"/>
        <v>0</v>
      </c>
      <c r="M67" s="7">
        <v>0</v>
      </c>
      <c r="N67" s="11">
        <f t="shared" si="21"/>
        <v>0</v>
      </c>
      <c r="O67" s="59">
        <v>0</v>
      </c>
      <c r="P67" s="25">
        <f t="shared" si="22"/>
        <v>0</v>
      </c>
      <c r="Q67" s="34"/>
      <c r="R67" s="3" t="s">
        <v>37</v>
      </c>
      <c r="S67" s="7">
        <v>0</v>
      </c>
      <c r="T67" s="11">
        <f t="shared" si="23"/>
        <v>0</v>
      </c>
      <c r="U67" s="7">
        <v>0</v>
      </c>
      <c r="V67" s="11">
        <f t="shared" si="24"/>
        <v>0</v>
      </c>
      <c r="W67" s="7">
        <v>0</v>
      </c>
      <c r="X67" s="25">
        <f t="shared" si="25"/>
        <v>0</v>
      </c>
      <c r="Y67" s="34"/>
      <c r="AA67" s="3" t="s">
        <v>37</v>
      </c>
      <c r="AB67" s="7">
        <v>0</v>
      </c>
      <c r="AC67" s="11">
        <f t="shared" si="32"/>
        <v>0</v>
      </c>
      <c r="AD67" s="7">
        <v>0</v>
      </c>
      <c r="AE67" s="11">
        <f t="shared" si="26"/>
        <v>0</v>
      </c>
      <c r="AF67" s="7">
        <v>0</v>
      </c>
      <c r="AG67" s="13">
        <f t="shared" si="27"/>
        <v>0</v>
      </c>
      <c r="AI67" s="3" t="s">
        <v>37</v>
      </c>
      <c r="AJ67" s="7">
        <v>0</v>
      </c>
      <c r="AK67" s="11">
        <f t="shared" si="28"/>
        <v>0</v>
      </c>
      <c r="AL67" s="7">
        <v>0</v>
      </c>
      <c r="AM67" s="11">
        <f t="shared" si="29"/>
        <v>0</v>
      </c>
      <c r="AN67" s="7">
        <v>0</v>
      </c>
      <c r="AO67" s="13">
        <f t="shared" si="30"/>
        <v>0</v>
      </c>
    </row>
    <row r="68" spans="2:41" x14ac:dyDescent="0.3">
      <c r="B68" s="33"/>
      <c r="C68" s="29"/>
      <c r="D68" s="34"/>
      <c r="E68" s="29"/>
      <c r="F68" s="36"/>
      <c r="G68" s="29"/>
      <c r="H68" s="36"/>
      <c r="J68" s="3" t="s">
        <v>38</v>
      </c>
      <c r="K68" s="7">
        <v>0</v>
      </c>
      <c r="L68" s="11">
        <f t="shared" si="31"/>
        <v>0</v>
      </c>
      <c r="M68" s="7">
        <v>0</v>
      </c>
      <c r="N68" s="11">
        <f t="shared" si="21"/>
        <v>0</v>
      </c>
      <c r="O68" s="59">
        <v>0</v>
      </c>
      <c r="P68" s="25">
        <f t="shared" si="22"/>
        <v>0</v>
      </c>
      <c r="Q68" s="34"/>
      <c r="R68" s="3" t="s">
        <v>38</v>
      </c>
      <c r="S68" s="7">
        <v>0</v>
      </c>
      <c r="T68" s="11">
        <f t="shared" si="23"/>
        <v>0</v>
      </c>
      <c r="U68" s="7">
        <v>0</v>
      </c>
      <c r="V68" s="11">
        <f t="shared" si="24"/>
        <v>0</v>
      </c>
      <c r="W68" s="7">
        <v>0</v>
      </c>
      <c r="X68" s="25">
        <f t="shared" si="25"/>
        <v>0</v>
      </c>
      <c r="Y68" s="34"/>
      <c r="AA68" s="3" t="s">
        <v>38</v>
      </c>
      <c r="AB68" s="7">
        <v>0</v>
      </c>
      <c r="AC68" s="11">
        <f t="shared" si="32"/>
        <v>0</v>
      </c>
      <c r="AD68" s="7">
        <v>0</v>
      </c>
      <c r="AE68" s="11">
        <f t="shared" si="26"/>
        <v>0</v>
      </c>
      <c r="AF68" s="7">
        <v>0</v>
      </c>
      <c r="AG68" s="13">
        <f t="shared" si="27"/>
        <v>0</v>
      </c>
      <c r="AI68" s="3" t="s">
        <v>77</v>
      </c>
      <c r="AJ68" s="7">
        <v>0</v>
      </c>
      <c r="AK68" s="11">
        <f t="shared" si="28"/>
        <v>0</v>
      </c>
      <c r="AL68" s="7">
        <v>2</v>
      </c>
      <c r="AM68" s="11">
        <f t="shared" si="29"/>
        <v>0.2</v>
      </c>
      <c r="AN68" s="7">
        <v>0</v>
      </c>
      <c r="AO68" s="13">
        <f t="shared" si="30"/>
        <v>0</v>
      </c>
    </row>
    <row r="69" spans="2:41" x14ac:dyDescent="0.3">
      <c r="B69" s="33"/>
      <c r="C69" s="29"/>
      <c r="D69" s="34"/>
      <c r="E69" s="29"/>
      <c r="F69" s="36"/>
      <c r="G69" s="29"/>
      <c r="H69" s="36"/>
      <c r="J69" s="3" t="s">
        <v>39</v>
      </c>
      <c r="K69" s="31">
        <v>0</v>
      </c>
      <c r="L69" s="11">
        <f t="shared" si="31"/>
        <v>0</v>
      </c>
      <c r="M69" s="31">
        <v>0</v>
      </c>
      <c r="N69" s="11">
        <f t="shared" si="21"/>
        <v>0</v>
      </c>
      <c r="O69" s="67">
        <v>0</v>
      </c>
      <c r="P69" s="25">
        <f t="shared" si="22"/>
        <v>0</v>
      </c>
      <c r="Q69" s="34"/>
      <c r="R69" s="3" t="s">
        <v>39</v>
      </c>
      <c r="S69" s="31">
        <v>0</v>
      </c>
      <c r="T69" s="11">
        <f t="shared" si="23"/>
        <v>0</v>
      </c>
      <c r="U69" s="31">
        <v>0</v>
      </c>
      <c r="V69" s="11">
        <f t="shared" si="24"/>
        <v>0</v>
      </c>
      <c r="W69" s="31">
        <v>0</v>
      </c>
      <c r="X69" s="25">
        <f t="shared" si="25"/>
        <v>0</v>
      </c>
      <c r="Y69" s="34"/>
      <c r="AA69" s="3" t="s">
        <v>39</v>
      </c>
      <c r="AB69" s="31">
        <v>0</v>
      </c>
      <c r="AC69" s="11">
        <f t="shared" si="32"/>
        <v>0</v>
      </c>
      <c r="AD69" s="31">
        <v>0</v>
      </c>
      <c r="AE69" s="11">
        <f t="shared" si="26"/>
        <v>0</v>
      </c>
      <c r="AF69" s="31">
        <v>0</v>
      </c>
      <c r="AG69" s="13">
        <f t="shared" si="27"/>
        <v>0</v>
      </c>
      <c r="AI69" s="3" t="s">
        <v>39</v>
      </c>
      <c r="AJ69" s="31">
        <v>0</v>
      </c>
      <c r="AK69" s="11">
        <f t="shared" si="28"/>
        <v>0</v>
      </c>
      <c r="AL69" s="31">
        <v>0</v>
      </c>
      <c r="AM69" s="11">
        <f t="shared" si="29"/>
        <v>0</v>
      </c>
      <c r="AN69" s="31">
        <v>0</v>
      </c>
      <c r="AO69" s="13">
        <f t="shared" si="30"/>
        <v>0</v>
      </c>
    </row>
    <row r="70" spans="2:41" x14ac:dyDescent="0.3">
      <c r="B70" s="33"/>
      <c r="C70" s="29"/>
      <c r="D70" s="34"/>
      <c r="E70" s="29"/>
      <c r="F70" s="36"/>
      <c r="G70" s="29"/>
      <c r="H70" s="36"/>
      <c r="J70" s="3" t="s">
        <v>40</v>
      </c>
      <c r="K70" s="7">
        <v>0</v>
      </c>
      <c r="L70" s="11">
        <f t="shared" si="31"/>
        <v>0</v>
      </c>
      <c r="M70" s="7">
        <v>0</v>
      </c>
      <c r="N70" s="11">
        <f t="shared" si="21"/>
        <v>0</v>
      </c>
      <c r="O70" s="59">
        <v>0</v>
      </c>
      <c r="P70" s="25">
        <f t="shared" si="22"/>
        <v>0</v>
      </c>
      <c r="Q70" s="34"/>
      <c r="R70" s="3" t="s">
        <v>40</v>
      </c>
      <c r="S70" s="7">
        <v>0</v>
      </c>
      <c r="T70" s="11">
        <f t="shared" si="23"/>
        <v>0</v>
      </c>
      <c r="U70" s="7">
        <v>0</v>
      </c>
      <c r="V70" s="11">
        <f t="shared" si="24"/>
        <v>0</v>
      </c>
      <c r="W70" s="7">
        <v>0</v>
      </c>
      <c r="X70" s="25">
        <f t="shared" si="25"/>
        <v>0</v>
      </c>
      <c r="Y70" s="34"/>
      <c r="AA70" s="3" t="s">
        <v>40</v>
      </c>
      <c r="AB70" s="7">
        <v>0</v>
      </c>
      <c r="AC70" s="11">
        <f t="shared" si="32"/>
        <v>0</v>
      </c>
      <c r="AD70" s="7">
        <v>0</v>
      </c>
      <c r="AE70" s="11">
        <f t="shared" si="26"/>
        <v>0</v>
      </c>
      <c r="AF70" s="7">
        <v>0</v>
      </c>
      <c r="AG70" s="13">
        <f t="shared" si="27"/>
        <v>0</v>
      </c>
      <c r="AI70" s="3" t="s">
        <v>40</v>
      </c>
      <c r="AJ70" s="7">
        <v>0</v>
      </c>
      <c r="AK70" s="11">
        <f t="shared" si="28"/>
        <v>0</v>
      </c>
      <c r="AL70" s="7">
        <v>1</v>
      </c>
      <c r="AM70" s="11">
        <f t="shared" si="29"/>
        <v>0.1</v>
      </c>
      <c r="AN70" s="7">
        <v>0</v>
      </c>
      <c r="AO70" s="13">
        <f t="shared" si="30"/>
        <v>0</v>
      </c>
    </row>
    <row r="71" spans="2:41" x14ac:dyDescent="0.3">
      <c r="B71" s="33"/>
      <c r="C71" s="29"/>
      <c r="D71" s="34"/>
      <c r="E71" s="29"/>
      <c r="F71" s="36"/>
      <c r="G71" s="29"/>
      <c r="H71" s="36"/>
      <c r="J71" s="3" t="s">
        <v>16</v>
      </c>
      <c r="K71" s="7">
        <v>0</v>
      </c>
      <c r="L71" s="11">
        <f t="shared" si="31"/>
        <v>0</v>
      </c>
      <c r="M71" s="7">
        <v>0</v>
      </c>
      <c r="N71" s="11">
        <f t="shared" si="21"/>
        <v>0</v>
      </c>
      <c r="O71" s="59">
        <v>0</v>
      </c>
      <c r="P71" s="25">
        <f t="shared" si="22"/>
        <v>0</v>
      </c>
      <c r="Q71" s="34"/>
      <c r="R71" s="3" t="s">
        <v>16</v>
      </c>
      <c r="S71" s="7">
        <v>0</v>
      </c>
      <c r="T71" s="11">
        <f t="shared" si="23"/>
        <v>0</v>
      </c>
      <c r="U71" s="7">
        <v>0</v>
      </c>
      <c r="V71" s="11">
        <f t="shared" si="24"/>
        <v>0</v>
      </c>
      <c r="W71" s="7">
        <v>0</v>
      </c>
      <c r="X71" s="25">
        <f t="shared" si="25"/>
        <v>0</v>
      </c>
      <c r="Y71" s="34"/>
      <c r="AA71" s="3" t="s">
        <v>16</v>
      </c>
      <c r="AB71" s="7">
        <v>0</v>
      </c>
      <c r="AC71" s="11">
        <f t="shared" si="32"/>
        <v>0</v>
      </c>
      <c r="AD71" s="7">
        <v>0</v>
      </c>
      <c r="AE71" s="11">
        <f t="shared" si="26"/>
        <v>0</v>
      </c>
      <c r="AF71" s="7">
        <v>0</v>
      </c>
      <c r="AG71" s="13">
        <f t="shared" si="27"/>
        <v>0</v>
      </c>
      <c r="AI71" s="3" t="s">
        <v>16</v>
      </c>
      <c r="AJ71" s="7">
        <v>0</v>
      </c>
      <c r="AK71" s="11">
        <f t="shared" si="28"/>
        <v>0</v>
      </c>
      <c r="AL71" s="7">
        <v>0</v>
      </c>
      <c r="AM71" s="11">
        <f t="shared" si="29"/>
        <v>0</v>
      </c>
      <c r="AN71" s="7">
        <v>0</v>
      </c>
      <c r="AO71" s="13">
        <f t="shared" si="30"/>
        <v>0</v>
      </c>
    </row>
    <row r="72" spans="2:41" x14ac:dyDescent="0.3">
      <c r="B72" s="33"/>
      <c r="C72" s="29"/>
      <c r="D72" s="34"/>
      <c r="E72" s="29"/>
      <c r="F72" s="36"/>
      <c r="G72" s="29"/>
      <c r="H72" s="36"/>
      <c r="J72" s="3" t="s">
        <v>17</v>
      </c>
      <c r="K72" s="7">
        <v>0</v>
      </c>
      <c r="L72" s="11">
        <f t="shared" si="31"/>
        <v>0</v>
      </c>
      <c r="M72" s="7">
        <v>0</v>
      </c>
      <c r="N72" s="11">
        <f t="shared" si="21"/>
        <v>0</v>
      </c>
      <c r="O72" s="59">
        <v>0</v>
      </c>
      <c r="P72" s="25">
        <f t="shared" si="22"/>
        <v>0</v>
      </c>
      <c r="Q72" s="34"/>
      <c r="R72" s="3" t="s">
        <v>17</v>
      </c>
      <c r="S72" s="7">
        <v>0</v>
      </c>
      <c r="T72" s="11">
        <f t="shared" si="23"/>
        <v>0</v>
      </c>
      <c r="U72" s="7">
        <v>0</v>
      </c>
      <c r="V72" s="11">
        <f t="shared" si="24"/>
        <v>0</v>
      </c>
      <c r="W72" s="7">
        <v>0</v>
      </c>
      <c r="X72" s="25">
        <f t="shared" si="25"/>
        <v>0</v>
      </c>
      <c r="Y72" s="34"/>
      <c r="AA72" s="3" t="s">
        <v>17</v>
      </c>
      <c r="AB72" s="7">
        <v>0</v>
      </c>
      <c r="AC72" s="11">
        <f t="shared" si="32"/>
        <v>0</v>
      </c>
      <c r="AD72" s="7">
        <v>0</v>
      </c>
      <c r="AE72" s="11">
        <f t="shared" si="26"/>
        <v>0</v>
      </c>
      <c r="AF72" s="7">
        <v>0</v>
      </c>
      <c r="AG72" s="13">
        <f t="shared" si="27"/>
        <v>0</v>
      </c>
      <c r="AI72" s="3" t="s">
        <v>17</v>
      </c>
      <c r="AJ72" s="7">
        <v>0</v>
      </c>
      <c r="AK72" s="11">
        <f t="shared" si="28"/>
        <v>0</v>
      </c>
      <c r="AL72" s="7">
        <v>0</v>
      </c>
      <c r="AM72" s="11">
        <f t="shared" si="29"/>
        <v>0</v>
      </c>
      <c r="AN72" s="7">
        <v>0</v>
      </c>
      <c r="AO72" s="13">
        <f t="shared" si="30"/>
        <v>0</v>
      </c>
    </row>
    <row r="73" spans="2:41" x14ac:dyDescent="0.3">
      <c r="B73" s="33"/>
      <c r="C73" s="29"/>
      <c r="D73" s="34"/>
      <c r="E73" s="29"/>
      <c r="F73" s="36"/>
      <c r="G73" s="29"/>
      <c r="H73" s="36"/>
      <c r="J73" s="2" t="s">
        <v>41</v>
      </c>
      <c r="K73" s="7">
        <v>110</v>
      </c>
      <c r="L73" s="11">
        <f t="shared" si="31"/>
        <v>0.12775842044134728</v>
      </c>
      <c r="M73" s="7">
        <v>3</v>
      </c>
      <c r="N73" s="11">
        <f t="shared" si="21"/>
        <v>0.375</v>
      </c>
      <c r="O73" s="59">
        <v>6</v>
      </c>
      <c r="P73" s="25">
        <f t="shared" si="22"/>
        <v>0.33333333333333331</v>
      </c>
      <c r="Q73" s="35"/>
      <c r="R73" s="2" t="s">
        <v>41</v>
      </c>
      <c r="S73" s="7">
        <v>74</v>
      </c>
      <c r="T73" s="11">
        <f t="shared" si="23"/>
        <v>0.12869565217391304</v>
      </c>
      <c r="U73" s="66">
        <v>1</v>
      </c>
      <c r="V73" s="11">
        <f t="shared" si="24"/>
        <v>4.7619047619047616E-2</v>
      </c>
      <c r="W73" s="7">
        <v>2</v>
      </c>
      <c r="X73" s="25">
        <f t="shared" si="25"/>
        <v>0.25</v>
      </c>
      <c r="Y73" s="35"/>
      <c r="AA73" s="2" t="s">
        <v>41</v>
      </c>
      <c r="AB73" s="7">
        <v>17</v>
      </c>
      <c r="AC73" s="11">
        <f>AB73/$AB$75</f>
        <v>0.12781954887218044</v>
      </c>
      <c r="AD73" s="7">
        <v>0</v>
      </c>
      <c r="AE73" s="11">
        <f t="shared" si="26"/>
        <v>0</v>
      </c>
      <c r="AF73" s="7">
        <v>2</v>
      </c>
      <c r="AG73" s="13">
        <f t="shared" si="27"/>
        <v>5.7142857142857141E-2</v>
      </c>
      <c r="AI73" s="2" t="s">
        <v>41</v>
      </c>
      <c r="AJ73" s="7">
        <v>98</v>
      </c>
      <c r="AK73" s="11">
        <f t="shared" si="28"/>
        <v>0.12810457516339868</v>
      </c>
      <c r="AL73" s="7">
        <v>0</v>
      </c>
      <c r="AM73" s="11">
        <f t="shared" si="29"/>
        <v>0</v>
      </c>
      <c r="AN73" s="7">
        <v>3</v>
      </c>
      <c r="AO73" s="13">
        <f t="shared" si="30"/>
        <v>0.33333333333333331</v>
      </c>
    </row>
    <row r="74" spans="2:41" ht="15" thickBot="1" x14ac:dyDescent="0.35">
      <c r="B74" s="33"/>
      <c r="C74" s="29"/>
      <c r="D74" s="34"/>
      <c r="E74" s="29"/>
      <c r="F74" s="36"/>
      <c r="G74" s="29"/>
      <c r="H74" s="36"/>
      <c r="J74" s="30" t="s">
        <v>10</v>
      </c>
      <c r="K74" s="6">
        <v>40</v>
      </c>
      <c r="L74" s="39">
        <f t="shared" si="31"/>
        <v>4.6457607433217189E-2</v>
      </c>
      <c r="M74" s="6">
        <v>2</v>
      </c>
      <c r="N74" s="12">
        <f>M74/$M$75</f>
        <v>0.25</v>
      </c>
      <c r="O74" s="61">
        <v>0</v>
      </c>
      <c r="P74" s="54">
        <f>O74/$O$75</f>
        <v>0</v>
      </c>
      <c r="Q74" s="35"/>
      <c r="R74" s="30" t="s">
        <v>10</v>
      </c>
      <c r="S74" s="6">
        <v>27</v>
      </c>
      <c r="T74" s="39">
        <f>S74/$S$75</f>
        <v>4.6956521739130432E-2</v>
      </c>
      <c r="U74" s="6">
        <v>3</v>
      </c>
      <c r="V74" s="12">
        <f>U74/$U$75</f>
        <v>0.14285714285714285</v>
      </c>
      <c r="W74" s="6">
        <v>0</v>
      </c>
      <c r="X74" s="54">
        <f>W74/$W$75</f>
        <v>0</v>
      </c>
      <c r="Y74" s="35"/>
      <c r="AA74" s="30" t="s">
        <v>10</v>
      </c>
      <c r="AB74" s="6">
        <v>6</v>
      </c>
      <c r="AC74" s="39">
        <f>AB74/$AB$75</f>
        <v>4.5112781954887216E-2</v>
      </c>
      <c r="AD74" s="6">
        <v>2</v>
      </c>
      <c r="AE74" s="12">
        <f>AD74/$AD$75</f>
        <v>0.16666666666666666</v>
      </c>
      <c r="AF74" s="6">
        <v>3</v>
      </c>
      <c r="AG74" s="54">
        <f>AF74/$AF$75</f>
        <v>8.5714285714285715E-2</v>
      </c>
      <c r="AI74" s="30" t="s">
        <v>10</v>
      </c>
      <c r="AJ74" s="6">
        <v>36</v>
      </c>
      <c r="AK74" s="39">
        <f>AJ74/$AJ$75</f>
        <v>4.7058823529411764E-2</v>
      </c>
      <c r="AL74" s="6">
        <v>1</v>
      </c>
      <c r="AM74" s="12">
        <f>AL74/$AL$75</f>
        <v>0.1</v>
      </c>
      <c r="AN74" s="6">
        <v>2</v>
      </c>
      <c r="AO74" s="54">
        <f>AN74/$AN$75</f>
        <v>0.22222222222222221</v>
      </c>
    </row>
    <row r="75" spans="2:41" ht="15" thickBot="1" x14ac:dyDescent="0.35">
      <c r="B75" s="29"/>
      <c r="C75" s="29"/>
      <c r="D75" s="29"/>
      <c r="E75" s="29"/>
      <c r="F75" s="29"/>
      <c r="G75" s="29"/>
      <c r="H75" s="29"/>
      <c r="J75" s="5" t="s">
        <v>25</v>
      </c>
      <c r="K75" s="92">
        <f>SUM(K47:K74)</f>
        <v>861</v>
      </c>
      <c r="L75" s="103"/>
      <c r="M75" s="111">
        <f>SUM(M47:M74)</f>
        <v>8</v>
      </c>
      <c r="N75" s="103"/>
      <c r="O75" s="111">
        <f>SUM(O47:O74)</f>
        <v>18</v>
      </c>
      <c r="P75" s="103"/>
      <c r="Q75" s="29"/>
      <c r="R75" s="5" t="s">
        <v>25</v>
      </c>
      <c r="S75" s="92">
        <f>SUM(S47:S74)</f>
        <v>575</v>
      </c>
      <c r="T75" s="103"/>
      <c r="U75" s="111">
        <f>SUM(U47:U74)</f>
        <v>21</v>
      </c>
      <c r="V75" s="103"/>
      <c r="W75" s="111">
        <f>SUM(W47:W74)</f>
        <v>8</v>
      </c>
      <c r="X75" s="103"/>
      <c r="Y75" s="29"/>
      <c r="AA75" s="5" t="s">
        <v>25</v>
      </c>
      <c r="AB75" s="92">
        <f>SUM(AB47:AB74)</f>
        <v>133</v>
      </c>
      <c r="AC75" s="103"/>
      <c r="AD75" s="111">
        <f>SUM(AD47:AD74)</f>
        <v>12</v>
      </c>
      <c r="AE75" s="103"/>
      <c r="AF75" s="111">
        <f>SUM(AF47:AF74)</f>
        <v>35</v>
      </c>
      <c r="AG75" s="103"/>
      <c r="AI75" s="5" t="s">
        <v>25</v>
      </c>
      <c r="AJ75" s="92">
        <f>SUM(AJ47:AJ74)</f>
        <v>765</v>
      </c>
      <c r="AK75" s="103"/>
      <c r="AL75" s="111">
        <f>SUM(AL47:AL74)</f>
        <v>10</v>
      </c>
      <c r="AM75" s="103"/>
      <c r="AN75" s="111">
        <f>SUM(AN47:AN74)</f>
        <v>9</v>
      </c>
      <c r="AO75" s="103"/>
    </row>
    <row r="76" spans="2:41" ht="15" thickBot="1" x14ac:dyDescent="0.35">
      <c r="J76" s="19" t="s">
        <v>26</v>
      </c>
      <c r="K76" s="112">
        <f>K75/($K$75+$M$75+$O$75)</f>
        <v>0.97068771138669674</v>
      </c>
      <c r="L76" s="113"/>
      <c r="M76" s="112">
        <f>M75/($K$75+$M$75+$O$75)</f>
        <v>9.0191657271702363E-3</v>
      </c>
      <c r="N76" s="113"/>
      <c r="O76" s="112">
        <f>O75/($K$75+$M$75+$O$75)</f>
        <v>2.0293122886133032E-2</v>
      </c>
      <c r="P76" s="113"/>
      <c r="Q76" s="37"/>
      <c r="R76" s="19" t="s">
        <v>26</v>
      </c>
      <c r="S76" s="112">
        <f>S75/($S$75+$U$75+$W$75)</f>
        <v>0.95198675496688745</v>
      </c>
      <c r="T76" s="103"/>
      <c r="U76" s="112">
        <f>U75/($S$75+$U$75+$W$75)</f>
        <v>3.4768211920529798E-2</v>
      </c>
      <c r="V76" s="103"/>
      <c r="W76" s="112">
        <f>W75/($S$75+$U$75+$W$75)</f>
        <v>1.3245033112582781E-2</v>
      </c>
      <c r="X76" s="116"/>
      <c r="Y76" s="37"/>
      <c r="AA76" s="19" t="s">
        <v>26</v>
      </c>
      <c r="AB76" s="112">
        <f>AB75/($AB$75+$AD$75+$AF$75)</f>
        <v>0.73888888888888893</v>
      </c>
      <c r="AC76" s="103"/>
      <c r="AD76" s="112">
        <f>AD75/($AB$75+$AD$75+$AF$75)</f>
        <v>6.6666666666666666E-2</v>
      </c>
      <c r="AE76" s="103"/>
      <c r="AF76" s="112">
        <f>AF75/($AB$75+$AD$75+$AF$75)</f>
        <v>0.19444444444444445</v>
      </c>
      <c r="AG76" s="116"/>
      <c r="AI76" s="19" t="s">
        <v>26</v>
      </c>
      <c r="AJ76" s="112">
        <f>AJ75/($AJ$75+$AL$75+$AN$75)</f>
        <v>0.97576530612244894</v>
      </c>
      <c r="AK76" s="103"/>
      <c r="AL76" s="112">
        <f t="shared" ref="AL76" si="33">AL75/($AJ$75+$AL$75+$AN$75)</f>
        <v>1.2755102040816327E-2</v>
      </c>
      <c r="AM76" s="103"/>
      <c r="AN76" s="112">
        <f t="shared" ref="AN76" si="34">AN75/($AJ$75+$AL$75+$AN$75)</f>
        <v>1.1479591836734694E-2</v>
      </c>
      <c r="AO76" s="103"/>
    </row>
    <row r="77" spans="2:41" ht="15" thickBot="1" x14ac:dyDescent="0.35">
      <c r="J77" s="20" t="s">
        <v>23</v>
      </c>
      <c r="K77" s="117">
        <v>0.85</v>
      </c>
      <c r="L77" s="118"/>
      <c r="M77" s="117">
        <v>0.1</v>
      </c>
      <c r="N77" s="118"/>
      <c r="O77" s="117">
        <v>0.05</v>
      </c>
      <c r="P77" s="118"/>
      <c r="Q77" s="29"/>
      <c r="R77" s="20" t="s">
        <v>23</v>
      </c>
      <c r="S77" s="117">
        <v>0.85</v>
      </c>
      <c r="T77" s="118"/>
      <c r="U77" s="117">
        <v>0.1</v>
      </c>
      <c r="V77" s="118"/>
      <c r="W77" s="117">
        <v>0.05</v>
      </c>
      <c r="X77" s="118"/>
      <c r="Y77" s="29"/>
      <c r="AA77" s="20" t="s">
        <v>23</v>
      </c>
      <c r="AB77" s="117">
        <v>0.85</v>
      </c>
      <c r="AC77" s="118"/>
      <c r="AD77" s="117">
        <v>0.1</v>
      </c>
      <c r="AE77" s="118"/>
      <c r="AF77" s="117">
        <v>0.05</v>
      </c>
      <c r="AG77" s="118"/>
      <c r="AI77" s="20" t="s">
        <v>23</v>
      </c>
      <c r="AJ77" s="117">
        <v>0.85</v>
      </c>
      <c r="AK77" s="118"/>
      <c r="AL77" s="117">
        <v>0.1</v>
      </c>
      <c r="AM77" s="118"/>
      <c r="AN77" s="117">
        <v>0.05</v>
      </c>
      <c r="AO77" s="118"/>
    </row>
    <row r="78" spans="2:41" ht="15" thickBot="1" x14ac:dyDescent="0.35">
      <c r="J78" s="21" t="s">
        <v>24</v>
      </c>
      <c r="K78" s="102">
        <f>K76-K77</f>
        <v>0.12068771138669676</v>
      </c>
      <c r="L78" s="103"/>
      <c r="M78" s="102">
        <f>M77-M76</f>
        <v>9.0980834272829769E-2</v>
      </c>
      <c r="N78" s="103"/>
      <c r="O78" s="102">
        <f>O77-O76</f>
        <v>2.9706877113866971E-2</v>
      </c>
      <c r="P78" s="103"/>
      <c r="Q78" s="29"/>
      <c r="R78" s="21" t="s">
        <v>24</v>
      </c>
      <c r="S78" s="119">
        <f>S76-S77</f>
        <v>0.10198675496688747</v>
      </c>
      <c r="T78" s="120"/>
      <c r="U78" s="119">
        <f>U77-U76</f>
        <v>6.5231788079470207E-2</v>
      </c>
      <c r="V78" s="120"/>
      <c r="W78" s="119">
        <f>W77-W76</f>
        <v>3.6754966887417223E-2</v>
      </c>
      <c r="X78" s="120"/>
      <c r="Y78" s="29"/>
      <c r="AA78" s="21" t="s">
        <v>24</v>
      </c>
      <c r="AB78" s="121">
        <f>AB76-AB77</f>
        <v>-0.11111111111111105</v>
      </c>
      <c r="AC78" s="122"/>
      <c r="AD78" s="119">
        <f>AD77-AD76</f>
        <v>3.333333333333334E-2</v>
      </c>
      <c r="AE78" s="120"/>
      <c r="AF78" s="121">
        <f>AF77-AF76</f>
        <v>-0.14444444444444443</v>
      </c>
      <c r="AG78" s="122"/>
      <c r="AI78" s="21" t="s">
        <v>24</v>
      </c>
      <c r="AJ78" s="119">
        <f>AJ76-AJ77</f>
        <v>0.12576530612244896</v>
      </c>
      <c r="AK78" s="120"/>
      <c r="AL78" s="119">
        <f>AL77-AL76</f>
        <v>8.7244897959183679E-2</v>
      </c>
      <c r="AM78" s="120"/>
      <c r="AN78" s="119">
        <f>AN77-AN76</f>
        <v>3.852040816326531E-2</v>
      </c>
      <c r="AO78" s="120"/>
    </row>
  </sheetData>
  <mergeCells count="182">
    <mergeCell ref="AR17:AS17"/>
    <mergeCell ref="AT17:AU17"/>
    <mergeCell ref="AV17:AW17"/>
    <mergeCell ref="AR18:AS18"/>
    <mergeCell ref="AT18:AU18"/>
    <mergeCell ref="AV18:AW18"/>
    <mergeCell ref="AR3:AS3"/>
    <mergeCell ref="AT3:AU3"/>
    <mergeCell ref="AV3:AW3"/>
    <mergeCell ref="AR15:AS15"/>
    <mergeCell ref="AT15:AU15"/>
    <mergeCell ref="AV15:AW15"/>
    <mergeCell ref="AR16:AS16"/>
    <mergeCell ref="AT16:AU16"/>
    <mergeCell ref="AV16:AW16"/>
    <mergeCell ref="AB46:AC46"/>
    <mergeCell ref="AD46:AE46"/>
    <mergeCell ref="AF46:AG46"/>
    <mergeCell ref="AB75:AC75"/>
    <mergeCell ref="AD75:AE75"/>
    <mergeCell ref="AF75:AG75"/>
    <mergeCell ref="AB76:AC76"/>
    <mergeCell ref="AD76:AE76"/>
    <mergeCell ref="AF76:AG76"/>
    <mergeCell ref="AJ17:AK17"/>
    <mergeCell ref="AL17:AM17"/>
    <mergeCell ref="AN17:AO17"/>
    <mergeCell ref="AJ18:AK18"/>
    <mergeCell ref="AL18:AM18"/>
    <mergeCell ref="AN18:AO18"/>
    <mergeCell ref="AJ3:AK3"/>
    <mergeCell ref="AL3:AM3"/>
    <mergeCell ref="AN3:AO3"/>
    <mergeCell ref="AJ15:AK15"/>
    <mergeCell ref="AL15:AM15"/>
    <mergeCell ref="AN15:AO15"/>
    <mergeCell ref="AJ16:AK16"/>
    <mergeCell ref="AL16:AM16"/>
    <mergeCell ref="AN16:AO16"/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  <mergeCell ref="S15:T15"/>
    <mergeCell ref="U15:V15"/>
    <mergeCell ref="W15:X15"/>
    <mergeCell ref="AB15:AC15"/>
    <mergeCell ref="AD15:AE15"/>
    <mergeCell ref="AF15:AG15"/>
    <mergeCell ref="C15:D15"/>
    <mergeCell ref="E15:F15"/>
    <mergeCell ref="G15:H15"/>
    <mergeCell ref="K15:L15"/>
    <mergeCell ref="M15:N15"/>
    <mergeCell ref="O15:P15"/>
    <mergeCell ref="S16:T16"/>
    <mergeCell ref="U16:V16"/>
    <mergeCell ref="W16:X16"/>
    <mergeCell ref="AB16:AC16"/>
    <mergeCell ref="AD16:AE16"/>
    <mergeCell ref="AF16:AG16"/>
    <mergeCell ref="C16:D16"/>
    <mergeCell ref="E16:F16"/>
    <mergeCell ref="G16:H16"/>
    <mergeCell ref="K16:L16"/>
    <mergeCell ref="M16:N16"/>
    <mergeCell ref="O16:P16"/>
    <mergeCell ref="S17:T17"/>
    <mergeCell ref="U17:V17"/>
    <mergeCell ref="W17:X17"/>
    <mergeCell ref="AB17:AC17"/>
    <mergeCell ref="AD17:AE17"/>
    <mergeCell ref="AF17:AG17"/>
    <mergeCell ref="C17:D17"/>
    <mergeCell ref="E17:F17"/>
    <mergeCell ref="G17:H17"/>
    <mergeCell ref="K17:L17"/>
    <mergeCell ref="M17:N17"/>
    <mergeCell ref="O17:P17"/>
    <mergeCell ref="S18:T18"/>
    <mergeCell ref="U18:V18"/>
    <mergeCell ref="W18:X18"/>
    <mergeCell ref="AB18:AC18"/>
    <mergeCell ref="AD18:AE18"/>
    <mergeCell ref="AF18:AG18"/>
    <mergeCell ref="C18:D18"/>
    <mergeCell ref="E18:F18"/>
    <mergeCell ref="G18:H18"/>
    <mergeCell ref="K18:L18"/>
    <mergeCell ref="M18:N18"/>
    <mergeCell ref="O18:P18"/>
    <mergeCell ref="M46:N46"/>
    <mergeCell ref="O46:P46"/>
    <mergeCell ref="S46:T46"/>
    <mergeCell ref="U46:V46"/>
    <mergeCell ref="W46:X46"/>
    <mergeCell ref="C58:D58"/>
    <mergeCell ref="E58:F58"/>
    <mergeCell ref="G58:H58"/>
    <mergeCell ref="G22:H22"/>
    <mergeCell ref="G35:H35"/>
    <mergeCell ref="C46:D46"/>
    <mergeCell ref="E46:F46"/>
    <mergeCell ref="G46:H46"/>
    <mergeCell ref="K46:L46"/>
    <mergeCell ref="C61:D61"/>
    <mergeCell ref="E61:F61"/>
    <mergeCell ref="G61:H61"/>
    <mergeCell ref="K75:L75"/>
    <mergeCell ref="M75:N75"/>
    <mergeCell ref="O75:P75"/>
    <mergeCell ref="C59:D59"/>
    <mergeCell ref="E59:F59"/>
    <mergeCell ref="G59:H59"/>
    <mergeCell ref="C60:D60"/>
    <mergeCell ref="E60:F60"/>
    <mergeCell ref="G60:H60"/>
    <mergeCell ref="S75:T75"/>
    <mergeCell ref="U75:V75"/>
    <mergeCell ref="W75:X75"/>
    <mergeCell ref="K76:L76"/>
    <mergeCell ref="M76:N76"/>
    <mergeCell ref="O76:P76"/>
    <mergeCell ref="S76:T76"/>
    <mergeCell ref="U76:V76"/>
    <mergeCell ref="W76:X76"/>
    <mergeCell ref="AB77:AC77"/>
    <mergeCell ref="AD77:AE77"/>
    <mergeCell ref="AF77:AG77"/>
    <mergeCell ref="AB78:AC78"/>
    <mergeCell ref="AD78:AE78"/>
    <mergeCell ref="AF78:AG78"/>
    <mergeCell ref="K77:L77"/>
    <mergeCell ref="M77:N77"/>
    <mergeCell ref="O77:P77"/>
    <mergeCell ref="K78:L78"/>
    <mergeCell ref="M78:N78"/>
    <mergeCell ref="O78:P78"/>
    <mergeCell ref="W78:X78"/>
    <mergeCell ref="W77:X77"/>
    <mergeCell ref="U77:V77"/>
    <mergeCell ref="S77:T77"/>
    <mergeCell ref="S78:T78"/>
    <mergeCell ref="U78:V78"/>
    <mergeCell ref="AJ77:AK77"/>
    <mergeCell ref="AL77:AM77"/>
    <mergeCell ref="AN77:AO77"/>
    <mergeCell ref="AJ78:AK78"/>
    <mergeCell ref="AL78:AM78"/>
    <mergeCell ref="AN78:AO78"/>
    <mergeCell ref="AJ46:AK46"/>
    <mergeCell ref="AL46:AM46"/>
    <mergeCell ref="AN46:AO46"/>
    <mergeCell ref="AJ75:AK75"/>
    <mergeCell ref="AL75:AM75"/>
    <mergeCell ref="AN75:AO75"/>
    <mergeCell ref="AJ76:AK76"/>
    <mergeCell ref="AL76:AM76"/>
    <mergeCell ref="AN76:AO76"/>
    <mergeCell ref="AZ17:BA17"/>
    <mergeCell ref="BB17:BC17"/>
    <mergeCell ref="BD17:BE17"/>
    <mergeCell ref="AZ18:BA18"/>
    <mergeCell ref="BB18:BC18"/>
    <mergeCell ref="BD18:BE18"/>
    <mergeCell ref="AZ3:BA3"/>
    <mergeCell ref="BB3:BC3"/>
    <mergeCell ref="BD3:BE3"/>
    <mergeCell ref="AZ15:BA15"/>
    <mergeCell ref="BB15:BC15"/>
    <mergeCell ref="BD15:BE15"/>
    <mergeCell ref="AZ16:BA16"/>
    <mergeCell ref="BB16:BC16"/>
    <mergeCell ref="BD16:BE16"/>
  </mergeCells>
  <conditionalFormatting sqref="C18 E18 G18">
    <cfRule type="cellIs" dxfId="56" priority="37" operator="lessThan">
      <formula>0</formula>
    </cfRule>
  </conditionalFormatting>
  <conditionalFormatting sqref="C61:D61">
    <cfRule type="cellIs" dxfId="55" priority="36" operator="lessThan">
      <formula>0</formula>
    </cfRule>
  </conditionalFormatting>
  <conditionalFormatting sqref="E61:F61">
    <cfRule type="cellIs" dxfId="54" priority="35" operator="lessThan">
      <formula>0</formula>
    </cfRule>
  </conditionalFormatting>
  <conditionalFormatting sqref="G61:H61">
    <cfRule type="cellIs" dxfId="53" priority="34" operator="lessThan">
      <formula>0</formula>
    </cfRule>
  </conditionalFormatting>
  <conditionalFormatting sqref="G61:H61">
    <cfRule type="cellIs" dxfId="52" priority="33" operator="lessThan">
      <formula>0</formula>
    </cfRule>
  </conditionalFormatting>
  <conditionalFormatting sqref="S18:T18">
    <cfRule type="cellIs" dxfId="51" priority="32" operator="lessThan">
      <formula>0</formula>
    </cfRule>
  </conditionalFormatting>
  <conditionalFormatting sqref="U18:V18">
    <cfRule type="cellIs" dxfId="50" priority="31" operator="lessThan">
      <formula>0</formula>
    </cfRule>
  </conditionalFormatting>
  <conditionalFormatting sqref="W18:X18">
    <cfRule type="cellIs" dxfId="49" priority="30" operator="lessThan">
      <formula>0</formula>
    </cfRule>
  </conditionalFormatting>
  <conditionalFormatting sqref="W18:X18">
    <cfRule type="cellIs" dxfId="48" priority="29" operator="lessThan">
      <formula>0</formula>
    </cfRule>
  </conditionalFormatting>
  <conditionalFormatting sqref="AF18:AG18">
    <cfRule type="cellIs" dxfId="47" priority="28" operator="lessThan">
      <formula>0</formula>
    </cfRule>
  </conditionalFormatting>
  <conditionalFormatting sqref="AF18:AG18">
    <cfRule type="cellIs" dxfId="46" priority="27" operator="lessThan">
      <formula>0</formula>
    </cfRule>
  </conditionalFormatting>
  <conditionalFormatting sqref="AD18:AE18">
    <cfRule type="cellIs" dxfId="45" priority="26" operator="lessThan">
      <formula>0</formula>
    </cfRule>
  </conditionalFormatting>
  <conditionalFormatting sqref="AB18:AC18">
    <cfRule type="cellIs" dxfId="44" priority="25" operator="lessThan">
      <formula>0</formula>
    </cfRule>
  </conditionalFormatting>
  <conditionalFormatting sqref="K18:L18">
    <cfRule type="cellIs" dxfId="43" priority="24" operator="lessThan">
      <formula>0</formula>
    </cfRule>
  </conditionalFormatting>
  <conditionalFormatting sqref="C18:D18">
    <cfRule type="cellIs" dxfId="42" priority="23" operator="lessThan">
      <formula>0</formula>
    </cfRule>
  </conditionalFormatting>
  <conditionalFormatting sqref="E18:F18">
    <cfRule type="cellIs" dxfId="41" priority="22" operator="lessThan">
      <formula>0</formula>
    </cfRule>
  </conditionalFormatting>
  <conditionalFormatting sqref="M18:N18">
    <cfRule type="cellIs" dxfId="40" priority="21" operator="lessThan">
      <formula>0</formula>
    </cfRule>
  </conditionalFormatting>
  <conditionalFormatting sqref="G18:H18">
    <cfRule type="cellIs" dxfId="39" priority="20" operator="lessThan">
      <formula>0</formula>
    </cfRule>
  </conditionalFormatting>
  <conditionalFormatting sqref="G18:H18">
    <cfRule type="cellIs" dxfId="38" priority="19" operator="lessThan">
      <formula>0</formula>
    </cfRule>
  </conditionalFormatting>
  <conditionalFormatting sqref="O18:P18">
    <cfRule type="cellIs" dxfId="37" priority="18" operator="lessThan">
      <formula>0</formula>
    </cfRule>
  </conditionalFormatting>
  <conditionalFormatting sqref="O18:P18">
    <cfRule type="cellIs" dxfId="36" priority="17" operator="lessThan">
      <formula>0</formula>
    </cfRule>
  </conditionalFormatting>
  <conditionalFormatting sqref="K78:L78">
    <cfRule type="cellIs" dxfId="35" priority="16" operator="lessThan">
      <formula>0</formula>
    </cfRule>
  </conditionalFormatting>
  <conditionalFormatting sqref="M78:N78">
    <cfRule type="cellIs" dxfId="34" priority="15" operator="lessThan">
      <formula>0</formula>
    </cfRule>
  </conditionalFormatting>
  <conditionalFormatting sqref="O78:P78">
    <cfRule type="cellIs" dxfId="33" priority="14" operator="lessThan">
      <formula>0</formula>
    </cfRule>
  </conditionalFormatting>
  <conditionalFormatting sqref="O78:P78">
    <cfRule type="cellIs" dxfId="32" priority="13" operator="lessThan">
      <formula>0</formula>
    </cfRule>
  </conditionalFormatting>
  <conditionalFormatting sqref="AN18:AO18">
    <cfRule type="cellIs" dxfId="31" priority="12" operator="lessThan">
      <formula>0</formula>
    </cfRule>
  </conditionalFormatting>
  <conditionalFormatting sqref="AN18:AO18">
    <cfRule type="cellIs" dxfId="30" priority="11" operator="lessThan">
      <formula>0</formula>
    </cfRule>
  </conditionalFormatting>
  <conditionalFormatting sqref="AL18:AM18">
    <cfRule type="cellIs" dxfId="29" priority="10" operator="lessThan">
      <formula>0</formula>
    </cfRule>
  </conditionalFormatting>
  <conditionalFormatting sqref="AJ18:AK18">
    <cfRule type="cellIs" dxfId="28" priority="9" operator="lessThan">
      <formula>0</formula>
    </cfRule>
  </conditionalFormatting>
  <conditionalFormatting sqref="AV18:AW18">
    <cfRule type="cellIs" dxfId="27" priority="8" operator="lessThan">
      <formula>0</formula>
    </cfRule>
  </conditionalFormatting>
  <conditionalFormatting sqref="AV18:AW18">
    <cfRule type="cellIs" dxfId="26" priority="7" operator="lessThan">
      <formula>0</formula>
    </cfRule>
  </conditionalFormatting>
  <conditionalFormatting sqref="AT18:AU18">
    <cfRule type="cellIs" dxfId="25" priority="6" operator="lessThan">
      <formula>0</formula>
    </cfRule>
  </conditionalFormatting>
  <conditionalFormatting sqref="AR18:AS18">
    <cfRule type="cellIs" dxfId="24" priority="5" operator="lessThan">
      <formula>0</formula>
    </cfRule>
  </conditionalFormatting>
  <conditionalFormatting sqref="BD18:BE18">
    <cfRule type="cellIs" dxfId="23" priority="4" operator="lessThan">
      <formula>0</formula>
    </cfRule>
  </conditionalFormatting>
  <conditionalFormatting sqref="BD18:BE18">
    <cfRule type="cellIs" dxfId="22" priority="3" operator="lessThan">
      <formula>0</formula>
    </cfRule>
  </conditionalFormatting>
  <conditionalFormatting sqref="BB18:BC18">
    <cfRule type="cellIs" dxfId="21" priority="2" operator="lessThan">
      <formula>0</formula>
    </cfRule>
  </conditionalFormatting>
  <conditionalFormatting sqref="AZ18:BA18">
    <cfRule type="cellIs" dxfId="2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Z32"/>
  <sheetViews>
    <sheetView showGridLines="0" defaultGridColor="0" colorId="22" zoomScale="75" zoomScaleNormal="75" workbookViewId="0">
      <selection activeCell="V17" sqref="V17"/>
    </sheetView>
  </sheetViews>
  <sheetFormatPr defaultRowHeight="14.4" x14ac:dyDescent="0.3"/>
  <cols>
    <col min="1" max="2" width="0.5546875" customWidth="1"/>
    <col min="3" max="3" width="18.44140625" bestFit="1" customWidth="1"/>
    <col min="4" max="4" width="4.44140625" bestFit="1" customWidth="1"/>
    <col min="5" max="5" width="6.6640625" bestFit="1" customWidth="1"/>
    <col min="6" max="6" width="5.5546875" customWidth="1"/>
    <col min="7" max="7" width="6.6640625" bestFit="1" customWidth="1"/>
    <col min="8" max="8" width="3.5546875" customWidth="1"/>
    <col min="9" max="9" width="6.6640625" bestFit="1" customWidth="1"/>
    <col min="10" max="10" width="0.6640625" customWidth="1"/>
    <col min="11" max="11" width="17.33203125" customWidth="1"/>
    <col min="12" max="12" width="6.109375" customWidth="1"/>
    <col min="13" max="13" width="6.5546875" customWidth="1"/>
    <col min="14" max="14" width="6.44140625" customWidth="1"/>
    <col min="15" max="16" width="5.6640625" customWidth="1"/>
    <col min="17" max="17" width="5.88671875" customWidth="1"/>
    <col min="18" max="18" width="1.109375" customWidth="1"/>
  </cols>
  <sheetData>
    <row r="1" spans="3:17" ht="3" customHeight="1" x14ac:dyDescent="0.25"/>
    <row r="2" spans="3:17" ht="19.5" thickBot="1" x14ac:dyDescent="0.35">
      <c r="C2" s="1" t="s">
        <v>79</v>
      </c>
      <c r="K2" s="69" t="s">
        <v>88</v>
      </c>
    </row>
    <row r="3" spans="3:17" ht="15.75" thickBot="1" x14ac:dyDescent="0.3">
      <c r="C3" s="18" t="s">
        <v>22</v>
      </c>
      <c r="D3" s="86" t="s">
        <v>0</v>
      </c>
      <c r="E3" s="86"/>
      <c r="F3" s="89" t="s">
        <v>49</v>
      </c>
      <c r="G3" s="89"/>
      <c r="H3" s="87" t="s">
        <v>61</v>
      </c>
      <c r="I3" s="88"/>
      <c r="K3" s="18" t="s">
        <v>22</v>
      </c>
      <c r="L3" s="86" t="s">
        <v>0</v>
      </c>
      <c r="M3" s="86"/>
      <c r="N3" s="89" t="s">
        <v>49</v>
      </c>
      <c r="O3" s="89"/>
      <c r="P3" s="87" t="s">
        <v>61</v>
      </c>
      <c r="Q3" s="88"/>
    </row>
    <row r="4" spans="3:17" ht="15" x14ac:dyDescent="0.25">
      <c r="C4" s="8" t="s">
        <v>1</v>
      </c>
      <c r="D4" s="9">
        <v>34</v>
      </c>
      <c r="E4" s="10">
        <f>D4/D15</f>
        <v>0.16748768472906403</v>
      </c>
      <c r="F4" s="57">
        <v>0</v>
      </c>
      <c r="G4" s="58">
        <f>F4/$F$15</f>
        <v>0</v>
      </c>
      <c r="H4" s="9">
        <v>4</v>
      </c>
      <c r="I4" s="23">
        <f>H4/$H$15</f>
        <v>5.6338028169014086E-2</v>
      </c>
      <c r="K4" s="8" t="s">
        <v>1</v>
      </c>
      <c r="L4" s="9">
        <v>19</v>
      </c>
      <c r="M4" s="10">
        <f>L4/L15</f>
        <v>0.125</v>
      </c>
      <c r="N4" s="57">
        <v>1</v>
      </c>
      <c r="O4" s="58">
        <f>N4/$N$15</f>
        <v>3.5714285714285712E-2</v>
      </c>
      <c r="P4" s="9">
        <v>1</v>
      </c>
      <c r="Q4" s="23">
        <f>P4/$P$15</f>
        <v>9.0909090909090912E-2</v>
      </c>
    </row>
    <row r="5" spans="3:17" ht="15" x14ac:dyDescent="0.25">
      <c r="C5" s="3" t="s">
        <v>2</v>
      </c>
      <c r="D5" s="7">
        <v>46</v>
      </c>
      <c r="E5" s="11">
        <f>D5/D15</f>
        <v>0.22660098522167488</v>
      </c>
      <c r="F5" s="59">
        <v>1</v>
      </c>
      <c r="G5" s="60">
        <f>F5/$F$15</f>
        <v>0.1111111111111111</v>
      </c>
      <c r="H5" s="7">
        <v>16</v>
      </c>
      <c r="I5" s="25">
        <f>H5/$H$15</f>
        <v>0.22535211267605634</v>
      </c>
      <c r="K5" s="3" t="s">
        <v>2</v>
      </c>
      <c r="L5" s="7">
        <v>80</v>
      </c>
      <c r="M5" s="11">
        <f>L5/L15</f>
        <v>0.52631578947368418</v>
      </c>
      <c r="N5" s="59">
        <v>11</v>
      </c>
      <c r="O5" s="60">
        <f>N5/$N$15</f>
        <v>0.39285714285714285</v>
      </c>
      <c r="P5" s="7">
        <v>2</v>
      </c>
      <c r="Q5" s="25">
        <f>P5/$P$15</f>
        <v>0.18181818181818182</v>
      </c>
    </row>
    <row r="6" spans="3:17" ht="15" x14ac:dyDescent="0.25">
      <c r="C6" s="3" t="s">
        <v>3</v>
      </c>
      <c r="D6" s="7">
        <v>0</v>
      </c>
      <c r="E6" s="11">
        <f>D6/D15</f>
        <v>0</v>
      </c>
      <c r="F6" s="59">
        <v>0</v>
      </c>
      <c r="G6" s="60">
        <f t="shared" ref="G6:G13" si="0">F6/$F$15</f>
        <v>0</v>
      </c>
      <c r="H6" s="7">
        <v>2</v>
      </c>
      <c r="I6" s="25">
        <f t="shared" ref="I6:I13" si="1">H6/$H$15</f>
        <v>2.8169014084507043E-2</v>
      </c>
      <c r="K6" s="3" t="s">
        <v>3</v>
      </c>
      <c r="L6" s="7">
        <v>0</v>
      </c>
      <c r="M6" s="11">
        <f>L6/L15</f>
        <v>0</v>
      </c>
      <c r="N6" s="59">
        <v>0</v>
      </c>
      <c r="O6" s="60">
        <f t="shared" ref="O6:O13" si="2">N6/$N$15</f>
        <v>0</v>
      </c>
      <c r="P6" s="7">
        <v>0</v>
      </c>
      <c r="Q6" s="25">
        <f t="shared" ref="Q6:Q13" si="3">P6/$P$15</f>
        <v>0</v>
      </c>
    </row>
    <row r="7" spans="3:17" ht="15" x14ac:dyDescent="0.25">
      <c r="C7" s="3" t="s">
        <v>48</v>
      </c>
      <c r="D7" s="7">
        <v>0</v>
      </c>
      <c r="E7" s="11">
        <f>D7/D15</f>
        <v>0</v>
      </c>
      <c r="F7" s="59">
        <v>0</v>
      </c>
      <c r="G7" s="60">
        <f t="shared" si="0"/>
        <v>0</v>
      </c>
      <c r="H7" s="7">
        <v>1</v>
      </c>
      <c r="I7" s="25">
        <f t="shared" si="1"/>
        <v>1.4084507042253521E-2</v>
      </c>
      <c r="K7" s="3" t="s">
        <v>48</v>
      </c>
      <c r="L7" s="7">
        <v>5</v>
      </c>
      <c r="M7" s="11">
        <f>L7/L15</f>
        <v>3.2894736842105261E-2</v>
      </c>
      <c r="N7" s="59">
        <v>0</v>
      </c>
      <c r="O7" s="60">
        <f t="shared" si="2"/>
        <v>0</v>
      </c>
      <c r="P7" s="7">
        <v>0</v>
      </c>
      <c r="Q7" s="25">
        <f t="shared" si="3"/>
        <v>0</v>
      </c>
    </row>
    <row r="8" spans="3:17" ht="15" x14ac:dyDescent="0.25">
      <c r="C8" s="3" t="s">
        <v>4</v>
      </c>
      <c r="D8" s="7">
        <v>0</v>
      </c>
      <c r="E8" s="11">
        <f>D8/D15</f>
        <v>0</v>
      </c>
      <c r="F8" s="59">
        <v>0</v>
      </c>
      <c r="G8" s="60">
        <f t="shared" si="0"/>
        <v>0</v>
      </c>
      <c r="H8" s="7">
        <v>1</v>
      </c>
      <c r="I8" s="25">
        <f t="shared" si="1"/>
        <v>1.4084507042253521E-2</v>
      </c>
      <c r="K8" s="3" t="s">
        <v>4</v>
      </c>
      <c r="L8" s="7">
        <v>0</v>
      </c>
      <c r="M8" s="11">
        <f>L8/L15</f>
        <v>0</v>
      </c>
      <c r="N8" s="59">
        <v>0</v>
      </c>
      <c r="O8" s="60">
        <f t="shared" si="2"/>
        <v>0</v>
      </c>
      <c r="P8" s="7">
        <v>0</v>
      </c>
      <c r="Q8" s="25">
        <f t="shared" si="3"/>
        <v>0</v>
      </c>
    </row>
    <row r="9" spans="3:17" ht="15" x14ac:dyDescent="0.25">
      <c r="C9" s="3" t="s">
        <v>5</v>
      </c>
      <c r="D9" s="7">
        <v>0</v>
      </c>
      <c r="E9" s="11">
        <f>D9/D15</f>
        <v>0</v>
      </c>
      <c r="F9" s="59">
        <v>0</v>
      </c>
      <c r="G9" s="60">
        <f t="shared" si="0"/>
        <v>0</v>
      </c>
      <c r="H9" s="7">
        <v>0</v>
      </c>
      <c r="I9" s="25">
        <f t="shared" si="1"/>
        <v>0</v>
      </c>
      <c r="K9" s="3" t="s">
        <v>5</v>
      </c>
      <c r="L9" s="7">
        <v>0</v>
      </c>
      <c r="M9" s="11">
        <f>L9/L15</f>
        <v>0</v>
      </c>
      <c r="N9" s="59">
        <v>0</v>
      </c>
      <c r="O9" s="60">
        <f t="shared" si="2"/>
        <v>0</v>
      </c>
      <c r="P9" s="7">
        <v>0</v>
      </c>
      <c r="Q9" s="25">
        <f t="shared" si="3"/>
        <v>0</v>
      </c>
    </row>
    <row r="10" spans="3:17" ht="15" x14ac:dyDescent="0.25">
      <c r="C10" s="3" t="s">
        <v>21</v>
      </c>
      <c r="D10" s="7">
        <v>0</v>
      </c>
      <c r="E10" s="11">
        <f>D10/D15</f>
        <v>0</v>
      </c>
      <c r="F10" s="59">
        <v>1</v>
      </c>
      <c r="G10" s="60">
        <f t="shared" si="0"/>
        <v>0.1111111111111111</v>
      </c>
      <c r="H10" s="7">
        <v>5</v>
      </c>
      <c r="I10" s="25">
        <f t="shared" si="1"/>
        <v>7.0422535211267609E-2</v>
      </c>
      <c r="K10" s="3" t="s">
        <v>21</v>
      </c>
      <c r="L10" s="7">
        <v>2</v>
      </c>
      <c r="M10" s="11">
        <f>L10/L15</f>
        <v>1.3157894736842105E-2</v>
      </c>
      <c r="N10" s="59">
        <v>6</v>
      </c>
      <c r="O10" s="60">
        <f t="shared" si="2"/>
        <v>0.21428571428571427</v>
      </c>
      <c r="P10" s="7">
        <v>2</v>
      </c>
      <c r="Q10" s="25">
        <f t="shared" si="3"/>
        <v>0.18181818181818182</v>
      </c>
    </row>
    <row r="11" spans="3:17" ht="15" x14ac:dyDescent="0.25">
      <c r="C11" s="3" t="s">
        <v>6</v>
      </c>
      <c r="D11" s="7">
        <v>31</v>
      </c>
      <c r="E11" s="11">
        <f>D11/D15</f>
        <v>0.15270935960591134</v>
      </c>
      <c r="F11" s="59">
        <v>2</v>
      </c>
      <c r="G11" s="60">
        <f t="shared" si="0"/>
        <v>0.22222222222222221</v>
      </c>
      <c r="H11" s="7">
        <v>8</v>
      </c>
      <c r="I11" s="25">
        <f t="shared" si="1"/>
        <v>0.11267605633802817</v>
      </c>
      <c r="K11" s="3" t="s">
        <v>6</v>
      </c>
      <c r="L11" s="7">
        <v>13</v>
      </c>
      <c r="M11" s="11">
        <f>L11/L15</f>
        <v>8.5526315789473686E-2</v>
      </c>
      <c r="N11" s="59">
        <v>1</v>
      </c>
      <c r="O11" s="60">
        <f t="shared" si="2"/>
        <v>3.5714285714285712E-2</v>
      </c>
      <c r="P11" s="7">
        <v>0</v>
      </c>
      <c r="Q11" s="25">
        <f t="shared" si="3"/>
        <v>0</v>
      </c>
    </row>
    <row r="12" spans="3:17" ht="15" x14ac:dyDescent="0.25">
      <c r="C12" s="3" t="s">
        <v>7</v>
      </c>
      <c r="D12" s="7">
        <v>17</v>
      </c>
      <c r="E12" s="11">
        <f>D12/D15</f>
        <v>8.3743842364532015E-2</v>
      </c>
      <c r="F12" s="59">
        <v>0</v>
      </c>
      <c r="G12" s="60">
        <f t="shared" si="0"/>
        <v>0</v>
      </c>
      <c r="H12" s="7">
        <v>3</v>
      </c>
      <c r="I12" s="25">
        <f t="shared" si="1"/>
        <v>4.2253521126760563E-2</v>
      </c>
      <c r="K12" s="3" t="s">
        <v>7</v>
      </c>
      <c r="L12" s="7">
        <v>0</v>
      </c>
      <c r="M12" s="11">
        <f>L12/L15</f>
        <v>0</v>
      </c>
      <c r="N12" s="59">
        <v>2</v>
      </c>
      <c r="O12" s="60">
        <f t="shared" si="2"/>
        <v>7.1428571428571425E-2</v>
      </c>
      <c r="P12" s="7">
        <v>0</v>
      </c>
      <c r="Q12" s="25">
        <f t="shared" si="3"/>
        <v>0</v>
      </c>
    </row>
    <row r="13" spans="3:17" ht="15" x14ac:dyDescent="0.25">
      <c r="C13" s="3" t="s">
        <v>8</v>
      </c>
      <c r="D13" s="7">
        <v>66</v>
      </c>
      <c r="E13" s="11">
        <f>D13/D15</f>
        <v>0.3251231527093596</v>
      </c>
      <c r="F13" s="59">
        <v>5</v>
      </c>
      <c r="G13" s="60">
        <f t="shared" si="0"/>
        <v>0.55555555555555558</v>
      </c>
      <c r="H13" s="7">
        <v>28</v>
      </c>
      <c r="I13" s="25">
        <f t="shared" si="1"/>
        <v>0.39436619718309857</v>
      </c>
      <c r="K13" s="3" t="s">
        <v>8</v>
      </c>
      <c r="L13" s="7">
        <v>33</v>
      </c>
      <c r="M13" s="11">
        <f>L13/L15</f>
        <v>0.21710526315789475</v>
      </c>
      <c r="N13" s="59">
        <v>6</v>
      </c>
      <c r="O13" s="60">
        <f t="shared" si="2"/>
        <v>0.21428571428571427</v>
      </c>
      <c r="P13" s="7">
        <v>6</v>
      </c>
      <c r="Q13" s="25">
        <f t="shared" si="3"/>
        <v>0.54545454545454541</v>
      </c>
    </row>
    <row r="14" spans="3:17" ht="15.75" thickBot="1" x14ac:dyDescent="0.3">
      <c r="C14" s="4" t="s">
        <v>9</v>
      </c>
      <c r="D14" s="6">
        <v>9</v>
      </c>
      <c r="E14" s="12">
        <f>D14/D15</f>
        <v>4.4334975369458129E-2</v>
      </c>
      <c r="F14" s="61">
        <v>0</v>
      </c>
      <c r="G14" s="62">
        <f>F14/$F$15</f>
        <v>0</v>
      </c>
      <c r="H14" s="6">
        <v>3</v>
      </c>
      <c r="I14" s="14">
        <f>H14/$H$15</f>
        <v>4.2253521126760563E-2</v>
      </c>
      <c r="K14" s="4" t="s">
        <v>9</v>
      </c>
      <c r="L14" s="6">
        <v>0</v>
      </c>
      <c r="M14" s="12">
        <f>L14/L15</f>
        <v>0</v>
      </c>
      <c r="N14" s="61">
        <v>1</v>
      </c>
      <c r="O14" s="62">
        <f>N14/$N$15</f>
        <v>3.5714285714285712E-2</v>
      </c>
      <c r="P14" s="6">
        <v>0</v>
      </c>
      <c r="Q14" s="14">
        <f>P14/$P$15</f>
        <v>0</v>
      </c>
    </row>
    <row r="15" spans="3:17" ht="15.75" thickBot="1" x14ac:dyDescent="0.3">
      <c r="C15" s="5" t="s">
        <v>25</v>
      </c>
      <c r="D15" s="92">
        <f>SUM(D4:D14)</f>
        <v>203</v>
      </c>
      <c r="E15" s="93"/>
      <c r="F15" s="92">
        <f>SUM(F4:F14)</f>
        <v>9</v>
      </c>
      <c r="G15" s="93"/>
      <c r="H15" s="92">
        <f>SUM(H4:H14)</f>
        <v>71</v>
      </c>
      <c r="I15" s="94"/>
      <c r="K15" s="5" t="s">
        <v>25</v>
      </c>
      <c r="L15" s="92">
        <f>SUM(L4:L14)</f>
        <v>152</v>
      </c>
      <c r="M15" s="93"/>
      <c r="N15" s="92">
        <f>SUM(N4:N14)</f>
        <v>28</v>
      </c>
      <c r="O15" s="93"/>
      <c r="P15" s="92">
        <f>SUM(P4:P14)</f>
        <v>11</v>
      </c>
      <c r="Q15" s="94"/>
    </row>
    <row r="16" spans="3:17" ht="15.75" thickBot="1" x14ac:dyDescent="0.3">
      <c r="C16" s="19" t="s">
        <v>26</v>
      </c>
      <c r="D16" s="95">
        <f>D15/($D$15+$F$15+$H$15)</f>
        <v>0.71731448763250882</v>
      </c>
      <c r="E16" s="96"/>
      <c r="F16" s="95">
        <f>F15/($D$15+$F$15+$H$15)</f>
        <v>3.1802120141342753E-2</v>
      </c>
      <c r="G16" s="96"/>
      <c r="H16" s="95">
        <f>H15/($D$15+$F$15+$H$15)</f>
        <v>0.25088339222614842</v>
      </c>
      <c r="I16" s="96"/>
      <c r="K16" s="19" t="s">
        <v>26</v>
      </c>
      <c r="L16" s="95">
        <f>L15/($L$15+$N$15+$P$15)</f>
        <v>0.79581151832460728</v>
      </c>
      <c r="M16" s="96"/>
      <c r="N16" s="95">
        <f t="shared" ref="N16" si="4">N15/($L$15+$N$15+$P$15)</f>
        <v>0.14659685863874344</v>
      </c>
      <c r="O16" s="96"/>
      <c r="P16" s="95">
        <f t="shared" ref="P16" si="5">P15/($L$15+$N$15+$P$15)</f>
        <v>5.7591623036649213E-2</v>
      </c>
      <c r="Q16" s="96"/>
    </row>
    <row r="17" spans="3:26" ht="15.75" thickBot="1" x14ac:dyDescent="0.3">
      <c r="C17" s="20" t="s">
        <v>23</v>
      </c>
      <c r="D17" s="100">
        <v>0.85</v>
      </c>
      <c r="E17" s="96"/>
      <c r="F17" s="100">
        <v>0.1</v>
      </c>
      <c r="G17" s="96"/>
      <c r="H17" s="100">
        <v>0.05</v>
      </c>
      <c r="I17" s="96"/>
      <c r="K17" s="20" t="s">
        <v>23</v>
      </c>
      <c r="L17" s="100">
        <v>0.85</v>
      </c>
      <c r="M17" s="96"/>
      <c r="N17" s="100">
        <v>0.1</v>
      </c>
      <c r="O17" s="96"/>
      <c r="P17" s="100">
        <v>0.05</v>
      </c>
      <c r="Q17" s="96"/>
    </row>
    <row r="18" spans="3:26" ht="15.75" thickBot="1" x14ac:dyDescent="0.3">
      <c r="C18" s="21" t="s">
        <v>24</v>
      </c>
      <c r="D18" s="102">
        <f>D16-D17</f>
        <v>-0.13268551236749115</v>
      </c>
      <c r="E18" s="103"/>
      <c r="F18" s="102">
        <f>F17-F16</f>
        <v>6.8197879858657245E-2</v>
      </c>
      <c r="G18" s="103"/>
      <c r="H18" s="102">
        <f>H17-H16</f>
        <v>-0.20088339222614843</v>
      </c>
      <c r="I18" s="103"/>
      <c r="K18" s="21" t="s">
        <v>24</v>
      </c>
      <c r="L18" s="102">
        <f>L16-L17</f>
        <v>-5.4188481675392697E-2</v>
      </c>
      <c r="M18" s="103"/>
      <c r="N18" s="102">
        <f>N17-N16</f>
        <v>-4.6596858638743438E-2</v>
      </c>
      <c r="O18" s="103"/>
      <c r="P18" s="102">
        <f>P17-P16</f>
        <v>-7.5916230366492102E-3</v>
      </c>
      <c r="Q18" s="103"/>
    </row>
    <row r="29" spans="3:26" x14ac:dyDescent="0.3">
      <c r="U29" s="70" t="s">
        <v>0</v>
      </c>
      <c r="V29" s="70"/>
      <c r="W29" s="70" t="s">
        <v>49</v>
      </c>
      <c r="Y29" s="107" t="s">
        <v>61</v>
      </c>
      <c r="Z29" s="107"/>
    </row>
    <row r="30" spans="3:26" x14ac:dyDescent="0.3">
      <c r="T30" s="56">
        <f>'Post Release Bugs 2015+'!B26</f>
        <v>6.6</v>
      </c>
      <c r="U30" s="74">
        <f>'Post Release Bugs 2015+'!C26</f>
        <v>0.8545454545454545</v>
      </c>
      <c r="V30" s="74"/>
      <c r="W30" s="74">
        <f>'Post Release Bugs 2015+'!E26</f>
        <v>7.5324675324675322E-2</v>
      </c>
      <c r="X30" s="74"/>
      <c r="Y30" s="74">
        <f>'Post Release Bugs 2015+'!G26</f>
        <v>7.0129870129870125E-2</v>
      </c>
      <c r="Z30" s="56"/>
    </row>
    <row r="31" spans="3:26" x14ac:dyDescent="0.3">
      <c r="T31" s="56">
        <v>6.7</v>
      </c>
      <c r="U31" s="22">
        <f>D16</f>
        <v>0.71731448763250882</v>
      </c>
      <c r="W31" s="22">
        <f>F16</f>
        <v>3.1802120141342753E-2</v>
      </c>
      <c r="Y31" s="28">
        <f>H16</f>
        <v>0.25088339222614842</v>
      </c>
    </row>
    <row r="32" spans="3:26" x14ac:dyDescent="0.3">
      <c r="T32" s="56" t="s">
        <v>87</v>
      </c>
      <c r="U32" s="22">
        <f>L16</f>
        <v>0.79581151832460728</v>
      </c>
      <c r="W32" s="22">
        <f>N16</f>
        <v>0.14659685863874344</v>
      </c>
      <c r="Y32" s="28">
        <f>P16</f>
        <v>5.7591623036649213E-2</v>
      </c>
    </row>
  </sheetData>
  <mergeCells count="31">
    <mergeCell ref="N3:O3"/>
    <mergeCell ref="P3:Q3"/>
    <mergeCell ref="D15:E15"/>
    <mergeCell ref="D3:E3"/>
    <mergeCell ref="F3:G3"/>
    <mergeCell ref="H3:I3"/>
    <mergeCell ref="L3:M3"/>
    <mergeCell ref="F15:G15"/>
    <mergeCell ref="H15:I15"/>
    <mergeCell ref="L15:M15"/>
    <mergeCell ref="N15:O15"/>
    <mergeCell ref="P15:Q15"/>
    <mergeCell ref="H16:I16"/>
    <mergeCell ref="L16:M16"/>
    <mergeCell ref="N16:O16"/>
    <mergeCell ref="P16:Q16"/>
    <mergeCell ref="D16:E16"/>
    <mergeCell ref="F16:G16"/>
    <mergeCell ref="L17:M17"/>
    <mergeCell ref="N17:O17"/>
    <mergeCell ref="P17:Q17"/>
    <mergeCell ref="D17:E17"/>
    <mergeCell ref="F17:G17"/>
    <mergeCell ref="H17:I17"/>
    <mergeCell ref="Y29:Z29"/>
    <mergeCell ref="D18:E18"/>
    <mergeCell ref="F18:G18"/>
    <mergeCell ref="H18:I18"/>
    <mergeCell ref="L18:M18"/>
    <mergeCell ref="N18:O18"/>
    <mergeCell ref="P18:Q18"/>
  </mergeCells>
  <conditionalFormatting sqref="H18:I18">
    <cfRule type="cellIs" dxfId="19" priority="12" operator="lessThan">
      <formula>0</formula>
    </cfRule>
  </conditionalFormatting>
  <conditionalFormatting sqref="H18:I18">
    <cfRule type="cellIs" dxfId="18" priority="11" operator="lessThan">
      <formula>0</formula>
    </cfRule>
  </conditionalFormatting>
  <conditionalFormatting sqref="F18:G18">
    <cfRule type="cellIs" dxfId="17" priority="10" operator="lessThan">
      <formula>0</formula>
    </cfRule>
  </conditionalFormatting>
  <conditionalFormatting sqref="D18:E18">
    <cfRule type="cellIs" dxfId="16" priority="9" operator="lessThan">
      <formula>0</formula>
    </cfRule>
  </conditionalFormatting>
  <conditionalFormatting sqref="P18:Q18">
    <cfRule type="cellIs" dxfId="15" priority="8" operator="lessThan">
      <formula>0</formula>
    </cfRule>
  </conditionalFormatting>
  <conditionalFormatting sqref="P18:Q18">
    <cfRule type="cellIs" dxfId="14" priority="7" operator="lessThan">
      <formula>0</formula>
    </cfRule>
  </conditionalFormatting>
  <conditionalFormatting sqref="N18:O18">
    <cfRule type="cellIs" dxfId="13" priority="6" operator="lessThan">
      <formula>0</formula>
    </cfRule>
  </conditionalFormatting>
  <conditionalFormatting sqref="L18:M18">
    <cfRule type="cellIs" dxfId="12" priority="5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30"/>
  <sheetViews>
    <sheetView topLeftCell="A13" zoomScale="90" zoomScaleNormal="90" workbookViewId="0">
      <selection activeCell="I47" sqref="I47"/>
    </sheetView>
  </sheetViews>
  <sheetFormatPr defaultRowHeight="14.4" x14ac:dyDescent="0.3"/>
  <cols>
    <col min="2" max="2" width="16.6640625" bestFit="1" customWidth="1"/>
    <col min="3" max="3" width="4.5546875" customWidth="1"/>
    <col min="4" max="4" width="6.44140625" bestFit="1" customWidth="1"/>
    <col min="5" max="5" width="3" bestFit="1" customWidth="1"/>
    <col min="6" max="6" width="6" bestFit="1" customWidth="1"/>
    <col min="7" max="7" width="3" bestFit="1" customWidth="1"/>
    <col min="8" max="8" width="6" bestFit="1" customWidth="1"/>
    <col min="14" max="14" width="16.6640625" bestFit="1" customWidth="1"/>
    <col min="15" max="15" width="4.5546875" customWidth="1"/>
    <col min="16" max="16" width="6" bestFit="1" customWidth="1"/>
    <col min="17" max="17" width="3" bestFit="1" customWidth="1"/>
    <col min="18" max="18" width="6" bestFit="1" customWidth="1"/>
    <col min="19" max="19" width="3" bestFit="1" customWidth="1"/>
    <col min="20" max="20" width="6" bestFit="1" customWidth="1"/>
    <col min="26" max="26" width="17.33203125" bestFit="1" customWidth="1"/>
    <col min="27" max="27" width="3.33203125" bestFit="1" customWidth="1"/>
    <col min="28" max="28" width="5" bestFit="1" customWidth="1"/>
    <col min="29" max="29" width="2.109375" bestFit="1" customWidth="1"/>
    <col min="30" max="30" width="5" bestFit="1" customWidth="1"/>
    <col min="31" max="31" width="2.109375" bestFit="1" customWidth="1"/>
    <col min="32" max="32" width="5" bestFit="1" customWidth="1"/>
  </cols>
  <sheetData>
    <row r="2" spans="2:36" ht="19.5" thickBot="1" x14ac:dyDescent="0.35">
      <c r="B2" s="1" t="s">
        <v>66</v>
      </c>
      <c r="N2" s="1" t="s">
        <v>80</v>
      </c>
      <c r="Z2" s="1" t="s">
        <v>86</v>
      </c>
    </row>
    <row r="3" spans="2:36" ht="15.75" thickBot="1" x14ac:dyDescent="0.3">
      <c r="B3" s="18" t="s">
        <v>22</v>
      </c>
      <c r="C3" s="86" t="s">
        <v>0</v>
      </c>
      <c r="D3" s="86"/>
      <c r="E3" s="86" t="s">
        <v>67</v>
      </c>
      <c r="F3" s="86"/>
      <c r="G3" s="87" t="s">
        <v>72</v>
      </c>
      <c r="H3" s="88"/>
      <c r="J3" t="str">
        <f>C3</f>
        <v>Release</v>
      </c>
      <c r="K3" t="str">
        <f>E3</f>
        <v>0-5 mo</v>
      </c>
      <c r="L3" s="68" t="str">
        <f>G3</f>
        <v>6-12 mo</v>
      </c>
      <c r="N3" s="73" t="s">
        <v>22</v>
      </c>
      <c r="O3" s="123" t="s">
        <v>0</v>
      </c>
      <c r="P3" s="86"/>
      <c r="Q3" s="86" t="s">
        <v>67</v>
      </c>
      <c r="R3" s="86"/>
      <c r="S3" s="87" t="s">
        <v>72</v>
      </c>
      <c r="T3" s="88"/>
      <c r="V3" t="str">
        <f>O3</f>
        <v>Release</v>
      </c>
      <c r="W3" t="str">
        <f>Q3</f>
        <v>0-5 mo</v>
      </c>
      <c r="X3" s="68" t="str">
        <f>S3</f>
        <v>6-12 mo</v>
      </c>
      <c r="Z3" s="73" t="s">
        <v>22</v>
      </c>
      <c r="AA3" s="123" t="s">
        <v>0</v>
      </c>
      <c r="AB3" s="86"/>
      <c r="AC3" s="86" t="s">
        <v>67</v>
      </c>
      <c r="AD3" s="86"/>
      <c r="AE3" s="87" t="s">
        <v>72</v>
      </c>
      <c r="AF3" s="88"/>
      <c r="AH3" t="str">
        <f>AA3</f>
        <v>Release</v>
      </c>
      <c r="AI3" t="str">
        <f>AC3</f>
        <v>0-5 mo</v>
      </c>
      <c r="AJ3" s="68" t="str">
        <f>AE3</f>
        <v>6-12 mo</v>
      </c>
    </row>
    <row r="4" spans="2:36" ht="15" x14ac:dyDescent="0.25">
      <c r="B4" s="42" t="s">
        <v>68</v>
      </c>
      <c r="C4" s="9">
        <v>92</v>
      </c>
      <c r="D4" s="10">
        <f>C4/C9</f>
        <v>0.21052631578947367</v>
      </c>
      <c r="E4" s="9">
        <v>10</v>
      </c>
      <c r="F4" s="26">
        <f>E4/$E$9</f>
        <v>0.21276595744680851</v>
      </c>
      <c r="G4" s="9">
        <v>0</v>
      </c>
      <c r="H4" s="23">
        <f>G4/$G$9</f>
        <v>0</v>
      </c>
      <c r="J4" s="28">
        <f>C10</f>
        <v>0.88640973630831643</v>
      </c>
      <c r="K4" s="28">
        <f>E10</f>
        <v>9.5334685598377281E-2</v>
      </c>
      <c r="L4" s="28">
        <f>G10</f>
        <v>1.8255578093306288E-2</v>
      </c>
      <c r="N4" s="71" t="s">
        <v>81</v>
      </c>
      <c r="O4" s="9">
        <v>2</v>
      </c>
      <c r="P4" s="10">
        <f t="shared" ref="P4:P11" si="0">O4/$O$13</f>
        <v>5.5555555555555552E-2</v>
      </c>
      <c r="Q4" s="9">
        <v>0</v>
      </c>
      <c r="R4" s="26">
        <f t="shared" ref="R4:R11" si="1">Q4/$Q$13</f>
        <v>0</v>
      </c>
      <c r="S4" s="9">
        <v>0</v>
      </c>
      <c r="T4" s="23">
        <f t="shared" ref="T4:T12" si="2">S4/$S$13</f>
        <v>0</v>
      </c>
      <c r="V4" s="28">
        <f>O14</f>
        <v>0.92307692307692313</v>
      </c>
      <c r="W4" s="28">
        <f>Q14</f>
        <v>5.128205128205128E-2</v>
      </c>
      <c r="X4" s="28">
        <f>S14</f>
        <v>2.564102564102564E-2</v>
      </c>
      <c r="Z4" s="71" t="s">
        <v>81</v>
      </c>
      <c r="AA4" s="9">
        <v>0</v>
      </c>
      <c r="AB4" s="10">
        <f t="shared" ref="AB4:AB11" si="3">AA4/$O$13</f>
        <v>0</v>
      </c>
      <c r="AC4" s="9">
        <v>0</v>
      </c>
      <c r="AD4" s="26">
        <f t="shared" ref="AD4:AD11" si="4">AC4/$Q$13</f>
        <v>0</v>
      </c>
      <c r="AE4" s="9">
        <v>0</v>
      </c>
      <c r="AF4" s="23">
        <f t="shared" ref="AF4:AF12" si="5">AE4/$S$13</f>
        <v>0</v>
      </c>
      <c r="AH4" s="28">
        <f>AA14</f>
        <v>0.98181818181818181</v>
      </c>
      <c r="AI4" s="28">
        <f>AC14</f>
        <v>1.8181818181818181E-2</v>
      </c>
      <c r="AJ4" s="28">
        <f>AE14</f>
        <v>0</v>
      </c>
    </row>
    <row r="5" spans="2:36" ht="15" x14ac:dyDescent="0.25">
      <c r="B5" s="40" t="s">
        <v>69</v>
      </c>
      <c r="C5" s="7">
        <v>74</v>
      </c>
      <c r="D5" s="11">
        <f>C5/C9</f>
        <v>0.16933638443935928</v>
      </c>
      <c r="E5" s="7">
        <v>8</v>
      </c>
      <c r="F5" s="24">
        <f>E5/$E$9</f>
        <v>0.1702127659574468</v>
      </c>
      <c r="G5" s="7">
        <v>0</v>
      </c>
      <c r="H5" s="25">
        <f>G5/$G$9</f>
        <v>0</v>
      </c>
      <c r="N5" s="72" t="s">
        <v>68</v>
      </c>
      <c r="O5" s="7">
        <v>1</v>
      </c>
      <c r="P5" s="11">
        <f t="shared" si="0"/>
        <v>2.7777777777777776E-2</v>
      </c>
      <c r="Q5" s="7">
        <v>0</v>
      </c>
      <c r="R5" s="24">
        <f t="shared" si="1"/>
        <v>0</v>
      </c>
      <c r="S5" s="7">
        <v>0</v>
      </c>
      <c r="T5" s="25">
        <f t="shared" si="2"/>
        <v>0</v>
      </c>
      <c r="Z5" s="72" t="s">
        <v>68</v>
      </c>
      <c r="AA5" s="7">
        <v>0</v>
      </c>
      <c r="AB5" s="11">
        <f t="shared" si="3"/>
        <v>0</v>
      </c>
      <c r="AC5" s="7">
        <v>0</v>
      </c>
      <c r="AD5" s="24">
        <f t="shared" si="4"/>
        <v>0</v>
      </c>
      <c r="AE5" s="7">
        <v>0</v>
      </c>
      <c r="AF5" s="25">
        <f t="shared" si="5"/>
        <v>0</v>
      </c>
    </row>
    <row r="6" spans="2:36" ht="15" x14ac:dyDescent="0.25">
      <c r="B6" s="41" t="s">
        <v>70</v>
      </c>
      <c r="C6" s="7">
        <v>22</v>
      </c>
      <c r="D6" s="11">
        <f>C6/C9</f>
        <v>5.0343249427917618E-2</v>
      </c>
      <c r="E6" s="7">
        <v>2</v>
      </c>
      <c r="F6" s="24">
        <f>E6/$E$9</f>
        <v>4.2553191489361701E-2</v>
      </c>
      <c r="G6" s="7">
        <v>0</v>
      </c>
      <c r="H6" s="25">
        <f>G6/$G$9</f>
        <v>0</v>
      </c>
      <c r="N6" s="72" t="s">
        <v>82</v>
      </c>
      <c r="O6" s="7">
        <v>4</v>
      </c>
      <c r="P6" s="11">
        <f t="shared" si="0"/>
        <v>0.1111111111111111</v>
      </c>
      <c r="Q6" s="7">
        <v>0</v>
      </c>
      <c r="R6" s="24">
        <f t="shared" si="1"/>
        <v>0</v>
      </c>
      <c r="S6" s="7">
        <v>0</v>
      </c>
      <c r="T6" s="25">
        <f t="shared" si="2"/>
        <v>0</v>
      </c>
      <c r="Z6" s="72" t="s">
        <v>82</v>
      </c>
      <c r="AA6" s="7">
        <v>0</v>
      </c>
      <c r="AB6" s="11">
        <f t="shared" si="3"/>
        <v>0</v>
      </c>
      <c r="AC6" s="7">
        <v>0</v>
      </c>
      <c r="AD6" s="24">
        <f t="shared" si="4"/>
        <v>0</v>
      </c>
      <c r="AE6" s="7">
        <v>0</v>
      </c>
      <c r="AF6" s="25">
        <f t="shared" si="5"/>
        <v>0</v>
      </c>
    </row>
    <row r="7" spans="2:36" ht="15" x14ac:dyDescent="0.25">
      <c r="B7" s="41" t="s">
        <v>71</v>
      </c>
      <c r="C7" s="7">
        <v>9</v>
      </c>
      <c r="D7" s="11">
        <f>C7/C9</f>
        <v>2.0594965675057208E-2</v>
      </c>
      <c r="E7" s="7">
        <v>1</v>
      </c>
      <c r="F7" s="24">
        <f>E7/$E$9</f>
        <v>2.1276595744680851E-2</v>
      </c>
      <c r="G7" s="7">
        <v>0</v>
      </c>
      <c r="H7" s="25">
        <f>G7/$G$9</f>
        <v>0</v>
      </c>
      <c r="N7" s="72" t="s">
        <v>71</v>
      </c>
      <c r="O7" s="7">
        <v>0</v>
      </c>
      <c r="P7" s="11">
        <f t="shared" si="0"/>
        <v>0</v>
      </c>
      <c r="Q7" s="7">
        <v>0</v>
      </c>
      <c r="R7" s="24">
        <f t="shared" si="1"/>
        <v>0</v>
      </c>
      <c r="S7" s="7">
        <v>0</v>
      </c>
      <c r="T7" s="25">
        <f t="shared" si="2"/>
        <v>0</v>
      </c>
      <c r="Z7" s="72" t="s">
        <v>71</v>
      </c>
      <c r="AA7" s="7">
        <v>0</v>
      </c>
      <c r="AB7" s="11">
        <f t="shared" si="3"/>
        <v>0</v>
      </c>
      <c r="AC7" s="7">
        <v>0</v>
      </c>
      <c r="AD7" s="24">
        <f t="shared" si="4"/>
        <v>0</v>
      </c>
      <c r="AE7" s="7">
        <v>0</v>
      </c>
      <c r="AF7" s="25">
        <f t="shared" si="5"/>
        <v>0</v>
      </c>
    </row>
    <row r="8" spans="2:36" ht="15.75" thickBot="1" x14ac:dyDescent="0.3">
      <c r="B8" s="43" t="s">
        <v>62</v>
      </c>
      <c r="C8" s="44">
        <v>240</v>
      </c>
      <c r="D8" s="45">
        <f>C8/C9</f>
        <v>0.54919908466819223</v>
      </c>
      <c r="E8" s="7">
        <v>26</v>
      </c>
      <c r="F8" s="24">
        <f>E8/$E$9</f>
        <v>0.55319148936170215</v>
      </c>
      <c r="G8" s="44">
        <v>9</v>
      </c>
      <c r="H8" s="46">
        <f>G8/$G$9</f>
        <v>1</v>
      </c>
      <c r="N8" s="72" t="s">
        <v>70</v>
      </c>
      <c r="O8" s="7">
        <v>1</v>
      </c>
      <c r="P8" s="11">
        <f t="shared" si="0"/>
        <v>2.7777777777777776E-2</v>
      </c>
      <c r="Q8" s="7">
        <v>0</v>
      </c>
      <c r="R8" s="24">
        <f t="shared" si="1"/>
        <v>0</v>
      </c>
      <c r="S8" s="7">
        <v>0</v>
      </c>
      <c r="T8" s="25">
        <f t="shared" si="2"/>
        <v>0</v>
      </c>
      <c r="Z8" s="72" t="s">
        <v>70</v>
      </c>
      <c r="AA8" s="7">
        <v>0</v>
      </c>
      <c r="AB8" s="11">
        <f t="shared" si="3"/>
        <v>0</v>
      </c>
      <c r="AC8" s="7">
        <v>0</v>
      </c>
      <c r="AD8" s="24">
        <f t="shared" si="4"/>
        <v>0</v>
      </c>
      <c r="AE8" s="7">
        <v>0</v>
      </c>
      <c r="AF8" s="25">
        <f t="shared" si="5"/>
        <v>0</v>
      </c>
    </row>
    <row r="9" spans="2:36" ht="15.75" thickBot="1" x14ac:dyDescent="0.3">
      <c r="B9" s="47" t="s">
        <v>25</v>
      </c>
      <c r="C9" s="109">
        <f>SUM(C4:C8)</f>
        <v>437</v>
      </c>
      <c r="D9" s="110"/>
      <c r="E9" s="109">
        <f>SUM(E4:E8)</f>
        <v>47</v>
      </c>
      <c r="F9" s="110"/>
      <c r="G9" s="109">
        <f>SUM(G4:G8)</f>
        <v>9</v>
      </c>
      <c r="H9" s="110"/>
      <c r="N9" s="72" t="s">
        <v>83</v>
      </c>
      <c r="O9" s="7">
        <v>5</v>
      </c>
      <c r="P9" s="11">
        <f t="shared" si="0"/>
        <v>0.1388888888888889</v>
      </c>
      <c r="Q9" s="7">
        <v>0</v>
      </c>
      <c r="R9" s="24">
        <f t="shared" si="1"/>
        <v>0</v>
      </c>
      <c r="S9" s="7">
        <v>0</v>
      </c>
      <c r="T9" s="25">
        <f t="shared" si="2"/>
        <v>0</v>
      </c>
      <c r="Z9" s="72" t="s">
        <v>83</v>
      </c>
      <c r="AA9" s="7">
        <v>0</v>
      </c>
      <c r="AB9" s="11">
        <f t="shared" si="3"/>
        <v>0</v>
      </c>
      <c r="AC9" s="7">
        <v>0</v>
      </c>
      <c r="AD9" s="24">
        <f t="shared" si="4"/>
        <v>0</v>
      </c>
      <c r="AE9" s="7">
        <v>0</v>
      </c>
      <c r="AF9" s="25">
        <f t="shared" si="5"/>
        <v>0</v>
      </c>
    </row>
    <row r="10" spans="2:36" ht="15.75" thickBot="1" x14ac:dyDescent="0.3">
      <c r="B10" s="32" t="s">
        <v>26</v>
      </c>
      <c r="C10" s="112">
        <f>C9/($C$9+$E$9+$G$9)</f>
        <v>0.88640973630831643</v>
      </c>
      <c r="D10" s="113"/>
      <c r="E10" s="112">
        <f>E9/($C$9+$E$9+$G$9)</f>
        <v>9.5334685598377281E-2</v>
      </c>
      <c r="F10" s="113"/>
      <c r="G10" s="112">
        <f>G9/($C$9+$E$9+$G$9)</f>
        <v>1.8255578093306288E-2</v>
      </c>
      <c r="H10" s="113"/>
      <c r="N10" s="72" t="s">
        <v>84</v>
      </c>
      <c r="O10" s="7">
        <v>1</v>
      </c>
      <c r="P10" s="11">
        <f t="shared" si="0"/>
        <v>2.7777777777777776E-2</v>
      </c>
      <c r="Q10" s="7">
        <v>0</v>
      </c>
      <c r="R10" s="24">
        <f t="shared" si="1"/>
        <v>0</v>
      </c>
      <c r="S10" s="7">
        <v>0</v>
      </c>
      <c r="T10" s="25">
        <f t="shared" si="2"/>
        <v>0</v>
      </c>
      <c r="Z10" s="72" t="s">
        <v>84</v>
      </c>
      <c r="AA10" s="7">
        <v>0</v>
      </c>
      <c r="AB10" s="11">
        <f t="shared" si="3"/>
        <v>0</v>
      </c>
      <c r="AC10" s="7">
        <v>0</v>
      </c>
      <c r="AD10" s="24">
        <f t="shared" si="4"/>
        <v>0</v>
      </c>
      <c r="AE10" s="7">
        <v>0</v>
      </c>
      <c r="AF10" s="25">
        <f t="shared" si="5"/>
        <v>0</v>
      </c>
    </row>
    <row r="11" spans="2:36" ht="15.75" thickBot="1" x14ac:dyDescent="0.3">
      <c r="B11" s="48" t="s">
        <v>23</v>
      </c>
      <c r="C11" s="114">
        <v>0.85</v>
      </c>
      <c r="D11" s="115"/>
      <c r="E11" s="114">
        <v>0.1</v>
      </c>
      <c r="F11" s="115"/>
      <c r="G11" s="114">
        <v>0.05</v>
      </c>
      <c r="H11" s="115"/>
      <c r="N11" s="72" t="s">
        <v>85</v>
      </c>
      <c r="O11" s="7">
        <v>0</v>
      </c>
      <c r="P11" s="11">
        <f t="shared" si="0"/>
        <v>0</v>
      </c>
      <c r="Q11" s="7">
        <v>0</v>
      </c>
      <c r="R11" s="24">
        <f t="shared" si="1"/>
        <v>0</v>
      </c>
      <c r="S11" s="7">
        <v>0</v>
      </c>
      <c r="T11" s="25">
        <f t="shared" si="2"/>
        <v>0</v>
      </c>
      <c r="Z11" s="72" t="s">
        <v>85</v>
      </c>
      <c r="AA11" s="7">
        <v>0</v>
      </c>
      <c r="AB11" s="11">
        <f t="shared" si="3"/>
        <v>0</v>
      </c>
      <c r="AC11" s="7">
        <v>0</v>
      </c>
      <c r="AD11" s="24">
        <f t="shared" si="4"/>
        <v>0</v>
      </c>
      <c r="AE11" s="7">
        <v>0</v>
      </c>
      <c r="AF11" s="25">
        <f t="shared" si="5"/>
        <v>0</v>
      </c>
    </row>
    <row r="12" spans="2:36" ht="15.75" thickBot="1" x14ac:dyDescent="0.3">
      <c r="B12" s="49" t="s">
        <v>24</v>
      </c>
      <c r="C12" s="102">
        <f>C10-C11</f>
        <v>3.6409736308316454E-2</v>
      </c>
      <c r="D12" s="103"/>
      <c r="E12" s="102">
        <f>E11-E10</f>
        <v>4.6653144016227249E-3</v>
      </c>
      <c r="F12" s="103"/>
      <c r="G12" s="102">
        <f>G11-G10</f>
        <v>3.1744421906693715E-2</v>
      </c>
      <c r="H12" s="103"/>
      <c r="N12" s="43" t="s">
        <v>62</v>
      </c>
      <c r="O12" s="44">
        <v>22</v>
      </c>
      <c r="P12" s="45">
        <f>O12/O13</f>
        <v>0.61111111111111116</v>
      </c>
      <c r="Q12" s="7">
        <v>2</v>
      </c>
      <c r="R12" s="24">
        <f>Q12/Q13</f>
        <v>1</v>
      </c>
      <c r="S12" s="44">
        <v>1</v>
      </c>
      <c r="T12" s="46">
        <f t="shared" si="2"/>
        <v>1</v>
      </c>
      <c r="Z12" s="43" t="s">
        <v>62</v>
      </c>
      <c r="AA12" s="44">
        <v>54</v>
      </c>
      <c r="AB12" s="45">
        <f>AA12/AA13</f>
        <v>1</v>
      </c>
      <c r="AC12" s="7">
        <v>1</v>
      </c>
      <c r="AD12" s="24">
        <f>AC12/AC13</f>
        <v>1</v>
      </c>
      <c r="AE12" s="44">
        <v>0</v>
      </c>
      <c r="AF12" s="46">
        <f t="shared" si="5"/>
        <v>0</v>
      </c>
    </row>
    <row r="13" spans="2:36" ht="15.75" thickBot="1" x14ac:dyDescent="0.3">
      <c r="B13" s="50"/>
      <c r="C13" s="29"/>
      <c r="D13" s="34"/>
      <c r="E13" s="29"/>
      <c r="F13" s="36"/>
      <c r="G13" s="29"/>
      <c r="H13" s="36"/>
      <c r="N13" s="47" t="s">
        <v>25</v>
      </c>
      <c r="O13" s="109">
        <f>SUM(O4:O12)</f>
        <v>36</v>
      </c>
      <c r="P13" s="110"/>
      <c r="Q13" s="109">
        <f>SUM(Q4:Q12)</f>
        <v>2</v>
      </c>
      <c r="R13" s="110"/>
      <c r="S13" s="109">
        <f>SUM(S4:S12)</f>
        <v>1</v>
      </c>
      <c r="T13" s="110"/>
      <c r="Z13" s="47" t="s">
        <v>25</v>
      </c>
      <c r="AA13" s="109">
        <f>SUM(AA4:AA12)</f>
        <v>54</v>
      </c>
      <c r="AB13" s="110"/>
      <c r="AC13" s="109">
        <f>SUM(AC4:AC12)</f>
        <v>1</v>
      </c>
      <c r="AD13" s="110"/>
      <c r="AE13" s="109">
        <f>SUM(AE4:AE12)</f>
        <v>0</v>
      </c>
      <c r="AF13" s="110"/>
    </row>
    <row r="14" spans="2:36" ht="15.75" thickBot="1" x14ac:dyDescent="0.3">
      <c r="B14" s="33"/>
      <c r="C14" s="29"/>
      <c r="D14" s="34"/>
      <c r="E14" s="29"/>
      <c r="F14" s="36"/>
      <c r="G14" s="29"/>
      <c r="H14" s="36"/>
      <c r="N14" s="32" t="s">
        <v>26</v>
      </c>
      <c r="O14" s="112">
        <f>O13/($O$13+$Q$13+$S$13)</f>
        <v>0.92307692307692313</v>
      </c>
      <c r="P14" s="113"/>
      <c r="Q14" s="112">
        <f>Q13/($O$13+$Q$13+$S$13)</f>
        <v>5.128205128205128E-2</v>
      </c>
      <c r="R14" s="113"/>
      <c r="S14" s="112">
        <f>S13/($O$13+$Q$13+$S$13)</f>
        <v>2.564102564102564E-2</v>
      </c>
      <c r="T14" s="113"/>
      <c r="Z14" s="32" t="s">
        <v>26</v>
      </c>
      <c r="AA14" s="112">
        <f>AA13/($AA$13+$AC$13+$AE$13)</f>
        <v>0.98181818181818181</v>
      </c>
      <c r="AB14" s="113"/>
      <c r="AC14" s="112">
        <f t="shared" ref="AC14" si="6">AC13/($AA$13+$AC$13+$AE$13)</f>
        <v>1.8181818181818181E-2</v>
      </c>
      <c r="AD14" s="113"/>
      <c r="AE14" s="112">
        <f t="shared" ref="AE14" si="7">AE13/($AA$13+$AC$13+$AE$13)</f>
        <v>0</v>
      </c>
      <c r="AF14" s="113"/>
    </row>
    <row r="15" spans="2:36" ht="15.75" thickBot="1" x14ac:dyDescent="0.3">
      <c r="B15" s="33"/>
      <c r="C15" s="29"/>
      <c r="D15" s="34"/>
      <c r="E15" s="29"/>
      <c r="F15" s="36"/>
      <c r="G15" s="29"/>
      <c r="H15" s="36"/>
      <c r="N15" s="48" t="s">
        <v>23</v>
      </c>
      <c r="O15" s="114">
        <v>0.85</v>
      </c>
      <c r="P15" s="115"/>
      <c r="Q15" s="114">
        <v>0.1</v>
      </c>
      <c r="R15" s="115"/>
      <c r="S15" s="114">
        <v>0.05</v>
      </c>
      <c r="T15" s="115"/>
      <c r="Z15" s="48" t="s">
        <v>23</v>
      </c>
      <c r="AA15" s="114">
        <v>0.85</v>
      </c>
      <c r="AB15" s="115"/>
      <c r="AC15" s="114">
        <v>0.1</v>
      </c>
      <c r="AD15" s="115"/>
      <c r="AE15" s="114">
        <v>0.05</v>
      </c>
      <c r="AF15" s="115"/>
    </row>
    <row r="16" spans="2:36" ht="15.75" thickBot="1" x14ac:dyDescent="0.3">
      <c r="B16" s="33"/>
      <c r="C16" s="29"/>
      <c r="D16" s="34"/>
      <c r="E16" s="29"/>
      <c r="F16" s="36"/>
      <c r="G16" s="29"/>
      <c r="H16" s="36"/>
      <c r="N16" s="49" t="s">
        <v>24</v>
      </c>
      <c r="O16" s="102">
        <f>O14-O15</f>
        <v>7.307692307692315E-2</v>
      </c>
      <c r="P16" s="103"/>
      <c r="Q16" s="102">
        <f>Q15-Q14</f>
        <v>4.8717948717948725E-2</v>
      </c>
      <c r="R16" s="103"/>
      <c r="S16" s="102">
        <f>S15-S14</f>
        <v>2.4358974358974363E-2</v>
      </c>
      <c r="T16" s="103"/>
      <c r="Z16" s="49" t="s">
        <v>24</v>
      </c>
      <c r="AA16" s="102">
        <f>AA14-AA15</f>
        <v>0.13181818181818183</v>
      </c>
      <c r="AB16" s="103"/>
      <c r="AC16" s="102">
        <f>AC15-AC14</f>
        <v>8.1818181818181818E-2</v>
      </c>
      <c r="AD16" s="103"/>
      <c r="AE16" s="102">
        <f>AE15-AE14</f>
        <v>0.05</v>
      </c>
      <c r="AF16" s="103"/>
    </row>
    <row r="17" spans="2:32" ht="15" x14ac:dyDescent="0.25">
      <c r="B17" s="33"/>
      <c r="C17" s="29"/>
      <c r="D17" s="34"/>
      <c r="E17" s="29"/>
      <c r="F17" s="36"/>
      <c r="G17" s="29"/>
      <c r="H17" s="36"/>
      <c r="N17" s="50"/>
      <c r="O17" s="29"/>
      <c r="P17" s="34"/>
      <c r="Q17" s="29"/>
      <c r="R17" s="36"/>
      <c r="S17" s="29"/>
      <c r="T17" s="36"/>
      <c r="Z17" s="50"/>
      <c r="AA17" s="29"/>
      <c r="AB17" s="34"/>
      <c r="AC17" s="29"/>
      <c r="AD17" s="36"/>
      <c r="AE17" s="29"/>
      <c r="AF17" s="36"/>
    </row>
    <row r="18" spans="2:32" ht="15" x14ac:dyDescent="0.25">
      <c r="B18" s="33"/>
      <c r="C18" s="29"/>
      <c r="D18" s="34"/>
      <c r="E18" s="29"/>
      <c r="F18" s="36"/>
      <c r="G18" s="29"/>
      <c r="H18" s="36"/>
      <c r="N18" s="33"/>
      <c r="O18" s="29"/>
      <c r="P18" s="34"/>
      <c r="Q18" s="29"/>
      <c r="R18" s="36"/>
      <c r="S18" s="29"/>
      <c r="T18" s="36"/>
      <c r="Z18" s="33"/>
      <c r="AA18" s="29"/>
      <c r="AB18" s="34"/>
      <c r="AC18" s="29"/>
      <c r="AD18" s="36"/>
      <c r="AE18" s="29"/>
      <c r="AF18" s="36"/>
    </row>
    <row r="19" spans="2:32" ht="15" x14ac:dyDescent="0.25">
      <c r="B19" s="33"/>
      <c r="C19" s="29"/>
      <c r="D19" s="34"/>
      <c r="E19" s="29"/>
      <c r="F19" s="36"/>
      <c r="G19" s="29"/>
      <c r="H19" s="36"/>
      <c r="N19" s="33"/>
      <c r="O19" s="29"/>
      <c r="P19" s="34"/>
      <c r="Q19" s="29"/>
      <c r="R19" s="36"/>
      <c r="S19" s="29"/>
      <c r="T19" s="36"/>
      <c r="Z19" s="33"/>
      <c r="AA19" s="29"/>
      <c r="AB19" s="34"/>
      <c r="AC19" s="29"/>
      <c r="AD19" s="36"/>
      <c r="AE19" s="29"/>
      <c r="AF19" s="36"/>
    </row>
    <row r="20" spans="2:32" ht="15" x14ac:dyDescent="0.25">
      <c r="B20" s="33"/>
      <c r="C20" s="29"/>
      <c r="D20" s="34"/>
      <c r="E20" s="29"/>
      <c r="F20" s="36"/>
      <c r="G20" s="29"/>
      <c r="H20" s="36"/>
      <c r="N20" s="33"/>
      <c r="O20" s="29"/>
      <c r="P20" s="34"/>
      <c r="Q20" s="29"/>
      <c r="R20" s="36"/>
      <c r="S20" s="29"/>
      <c r="T20" s="36"/>
      <c r="Z20" s="33"/>
      <c r="AA20" s="29"/>
      <c r="AB20" s="34"/>
      <c r="AC20" s="29"/>
      <c r="AD20" s="36"/>
      <c r="AE20" s="29"/>
      <c r="AF20" s="36"/>
    </row>
    <row r="21" spans="2:32" ht="15" x14ac:dyDescent="0.25">
      <c r="B21" s="33"/>
      <c r="C21" s="29"/>
      <c r="D21" s="34"/>
      <c r="E21" s="29"/>
      <c r="F21" s="36"/>
      <c r="G21" s="29"/>
      <c r="H21" s="36"/>
      <c r="N21" s="33"/>
      <c r="O21" s="29"/>
      <c r="P21" s="34"/>
      <c r="Q21" s="29"/>
      <c r="R21" s="36"/>
      <c r="S21" s="29"/>
      <c r="T21" s="36"/>
      <c r="Z21" s="33"/>
      <c r="AA21" s="29"/>
      <c r="AB21" s="34"/>
      <c r="AC21" s="29"/>
      <c r="AD21" s="36"/>
      <c r="AE21" s="29"/>
      <c r="AF21" s="36"/>
    </row>
    <row r="22" spans="2:32" ht="15" x14ac:dyDescent="0.25">
      <c r="B22" s="33"/>
      <c r="C22" s="29"/>
      <c r="D22" s="34"/>
      <c r="E22" s="29"/>
      <c r="F22" s="36"/>
      <c r="G22" s="29"/>
      <c r="H22" s="36"/>
      <c r="N22" s="33"/>
      <c r="O22" s="29"/>
      <c r="P22" s="34"/>
      <c r="Q22" s="29"/>
      <c r="R22" s="36"/>
      <c r="S22" s="29"/>
      <c r="T22" s="36"/>
      <c r="Z22" s="33"/>
      <c r="AA22" s="29"/>
      <c r="AB22" s="34"/>
      <c r="AC22" s="29"/>
      <c r="AD22" s="36"/>
      <c r="AE22" s="29"/>
      <c r="AF22" s="36"/>
    </row>
    <row r="23" spans="2:32" ht="15" x14ac:dyDescent="0.25">
      <c r="B23" s="33"/>
      <c r="C23" s="29"/>
      <c r="D23" s="34"/>
      <c r="E23" s="29"/>
      <c r="F23" s="36"/>
      <c r="G23" s="29"/>
      <c r="H23" s="36"/>
      <c r="N23" s="33"/>
      <c r="O23" s="29"/>
      <c r="P23" s="34"/>
      <c r="Q23" s="29"/>
      <c r="R23" s="36"/>
      <c r="S23" s="29"/>
      <c r="T23" s="36"/>
      <c r="Z23" s="33"/>
      <c r="AA23" s="29"/>
      <c r="AB23" s="34"/>
      <c r="AC23" s="29"/>
      <c r="AD23" s="36"/>
      <c r="AE23" s="29"/>
      <c r="AF23" s="36"/>
    </row>
    <row r="24" spans="2:32" ht="15" x14ac:dyDescent="0.25">
      <c r="B24" s="33"/>
      <c r="C24" s="29"/>
      <c r="D24" s="34"/>
      <c r="E24" s="29"/>
      <c r="F24" s="36"/>
      <c r="G24" s="29"/>
      <c r="H24" s="36"/>
      <c r="N24" s="33"/>
      <c r="O24" s="29"/>
      <c r="P24" s="34"/>
      <c r="Q24" s="29"/>
      <c r="R24" s="36"/>
      <c r="S24" s="29"/>
      <c r="T24" s="36"/>
      <c r="Z24" s="33"/>
      <c r="AA24" s="29"/>
      <c r="AB24" s="34"/>
      <c r="AC24" s="29"/>
      <c r="AD24" s="36"/>
      <c r="AE24" s="29"/>
      <c r="AF24" s="36"/>
    </row>
    <row r="25" spans="2:32" ht="15" x14ac:dyDescent="0.25">
      <c r="B25" s="33"/>
      <c r="C25" s="29"/>
      <c r="D25" s="34"/>
      <c r="E25" s="29"/>
      <c r="F25" s="36"/>
      <c r="G25" s="29"/>
      <c r="H25" s="36"/>
      <c r="N25" s="33"/>
      <c r="O25" s="29"/>
      <c r="P25" s="34"/>
      <c r="Q25" s="29"/>
      <c r="R25" s="36"/>
      <c r="S25" s="29"/>
      <c r="T25" s="36"/>
      <c r="Z25" s="33"/>
      <c r="AA25" s="29"/>
      <c r="AB25" s="34"/>
      <c r="AC25" s="29"/>
      <c r="AD25" s="36"/>
      <c r="AE25" s="29"/>
      <c r="AF25" s="36"/>
    </row>
    <row r="26" spans="2:32" ht="15" x14ac:dyDescent="0.25">
      <c r="B26" s="29"/>
      <c r="C26" s="29"/>
      <c r="D26" s="29"/>
      <c r="E26" s="29"/>
      <c r="F26" s="29"/>
      <c r="G26" s="29"/>
      <c r="H26" s="29"/>
      <c r="N26" s="33"/>
      <c r="O26" s="29"/>
      <c r="P26" s="34"/>
      <c r="Q26" s="29"/>
      <c r="R26" s="36"/>
      <c r="S26" s="29"/>
      <c r="T26" s="36"/>
      <c r="Z26" s="33"/>
      <c r="AA26" s="29"/>
      <c r="AB26" s="34"/>
      <c r="AC26" s="29"/>
      <c r="AD26" s="36"/>
      <c r="AE26" s="29"/>
      <c r="AF26" s="36"/>
    </row>
    <row r="27" spans="2:32" ht="15" x14ac:dyDescent="0.25">
      <c r="N27" s="33"/>
      <c r="O27" s="29"/>
      <c r="P27" s="34"/>
      <c r="Q27" s="29"/>
      <c r="R27" s="36"/>
      <c r="S27" s="29"/>
      <c r="T27" s="36"/>
      <c r="Z27" s="33"/>
      <c r="AA27" s="29"/>
      <c r="AB27" s="34"/>
      <c r="AC27" s="29"/>
      <c r="AD27" s="36"/>
      <c r="AE27" s="29"/>
      <c r="AF27" s="36"/>
    </row>
    <row r="28" spans="2:32" ht="15" x14ac:dyDescent="0.25">
      <c r="N28" s="33"/>
      <c r="O28" s="29"/>
      <c r="P28" s="34"/>
      <c r="Q28" s="29"/>
      <c r="R28" s="36"/>
      <c r="S28" s="29"/>
      <c r="T28" s="36"/>
      <c r="Z28" s="33"/>
      <c r="AA28" s="29"/>
      <c r="AB28" s="34"/>
      <c r="AC28" s="29"/>
      <c r="AD28" s="36"/>
      <c r="AE28" s="29"/>
      <c r="AF28" s="36"/>
    </row>
    <row r="29" spans="2:32" ht="15" x14ac:dyDescent="0.25">
      <c r="N29" s="33"/>
      <c r="O29" s="29"/>
      <c r="P29" s="34"/>
      <c r="Q29" s="29"/>
      <c r="R29" s="36"/>
      <c r="S29" s="29"/>
      <c r="T29" s="36"/>
      <c r="Z29" s="33"/>
      <c r="AA29" s="29"/>
      <c r="AB29" s="34"/>
      <c r="AC29" s="29"/>
      <c r="AD29" s="36"/>
      <c r="AE29" s="29"/>
      <c r="AF29" s="36"/>
    </row>
    <row r="30" spans="2:32" ht="15" x14ac:dyDescent="0.25">
      <c r="N30" s="29"/>
      <c r="O30" s="29"/>
      <c r="P30" s="29"/>
      <c r="Q30" s="29"/>
      <c r="R30" s="29"/>
      <c r="S30" s="29"/>
      <c r="T30" s="29"/>
      <c r="Z30" s="29"/>
      <c r="AA30" s="29"/>
      <c r="AB30" s="29"/>
      <c r="AC30" s="29"/>
      <c r="AD30" s="29"/>
      <c r="AE30" s="29"/>
      <c r="AF30" s="29"/>
    </row>
  </sheetData>
  <mergeCells count="45">
    <mergeCell ref="O16:P16"/>
    <mergeCell ref="Q16:R16"/>
    <mergeCell ref="S16:T16"/>
    <mergeCell ref="O14:P14"/>
    <mergeCell ref="Q14:R14"/>
    <mergeCell ref="S14:T14"/>
    <mergeCell ref="O15:P15"/>
    <mergeCell ref="Q15:R15"/>
    <mergeCell ref="S15:T15"/>
    <mergeCell ref="O3:P3"/>
    <mergeCell ref="Q3:R3"/>
    <mergeCell ref="S3:T3"/>
    <mergeCell ref="O13:P13"/>
    <mergeCell ref="Q13:R13"/>
    <mergeCell ref="S13:T13"/>
    <mergeCell ref="C3:D3"/>
    <mergeCell ref="E3:F3"/>
    <mergeCell ref="G3:H3"/>
    <mergeCell ref="C9:D9"/>
    <mergeCell ref="E9:F9"/>
    <mergeCell ref="G9:H9"/>
    <mergeCell ref="C12:D12"/>
    <mergeCell ref="E12:F12"/>
    <mergeCell ref="G12:H12"/>
    <mergeCell ref="C10:D10"/>
    <mergeCell ref="E10:F10"/>
    <mergeCell ref="G10:H10"/>
    <mergeCell ref="C11:D11"/>
    <mergeCell ref="E11:F11"/>
    <mergeCell ref="G11:H11"/>
    <mergeCell ref="AA3:AB3"/>
    <mergeCell ref="AC3:AD3"/>
    <mergeCell ref="AE3:AF3"/>
    <mergeCell ref="AA13:AB13"/>
    <mergeCell ref="AC13:AD13"/>
    <mergeCell ref="AE13:AF13"/>
    <mergeCell ref="AA16:AB16"/>
    <mergeCell ref="AC16:AD16"/>
    <mergeCell ref="AE16:AF16"/>
    <mergeCell ref="AA14:AB14"/>
    <mergeCell ref="AC14:AD14"/>
    <mergeCell ref="AE14:AF14"/>
    <mergeCell ref="AA15:AB15"/>
    <mergeCell ref="AC15:AD15"/>
    <mergeCell ref="AE15:AF15"/>
  </mergeCells>
  <conditionalFormatting sqref="C12:D12">
    <cfRule type="cellIs" dxfId="11" priority="12" operator="lessThan">
      <formula>0</formula>
    </cfRule>
  </conditionalFormatting>
  <conditionalFormatting sqref="E12:F12">
    <cfRule type="cellIs" dxfId="10" priority="11" operator="lessThan">
      <formula>0</formula>
    </cfRule>
  </conditionalFormatting>
  <conditionalFormatting sqref="G12:H12">
    <cfRule type="cellIs" dxfId="9" priority="10" operator="lessThan">
      <formula>0</formula>
    </cfRule>
  </conditionalFormatting>
  <conditionalFormatting sqref="G12:H12">
    <cfRule type="cellIs" dxfId="8" priority="9" operator="lessThan">
      <formula>0</formula>
    </cfRule>
  </conditionalFormatting>
  <conditionalFormatting sqref="O16:P16">
    <cfRule type="cellIs" dxfId="7" priority="8" operator="lessThan">
      <formula>0</formula>
    </cfRule>
  </conditionalFormatting>
  <conditionalFormatting sqref="Q16:R16">
    <cfRule type="cellIs" dxfId="6" priority="7" operator="lessThan">
      <formula>0</formula>
    </cfRule>
  </conditionalFormatting>
  <conditionalFormatting sqref="S16:T16">
    <cfRule type="cellIs" dxfId="5" priority="6" operator="lessThan">
      <formula>0</formula>
    </cfRule>
  </conditionalFormatting>
  <conditionalFormatting sqref="S16:T16">
    <cfRule type="cellIs" dxfId="4" priority="5" operator="lessThan">
      <formula>0</formula>
    </cfRule>
  </conditionalFormatting>
  <conditionalFormatting sqref="AA16:AB16">
    <cfRule type="cellIs" dxfId="3" priority="4" operator="lessThan">
      <formula>0</formula>
    </cfRule>
  </conditionalFormatting>
  <conditionalFormatting sqref="AC16:AD16">
    <cfRule type="cellIs" dxfId="2" priority="3" operator="lessThan">
      <formula>0</formula>
    </cfRule>
  </conditionalFormatting>
  <conditionalFormatting sqref="AE16:AF16">
    <cfRule type="cellIs" dxfId="1" priority="2" operator="lessThan">
      <formula>0</formula>
    </cfRule>
  </conditionalFormatting>
  <conditionalFormatting sqref="AE16:AF16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Post Release Bugs 2019+</vt:lpstr>
      <vt:lpstr>Post Release Bugs 2018+</vt:lpstr>
      <vt:lpstr>Post Release Bugs 2016+</vt:lpstr>
      <vt:lpstr>Post Release Bugs 2015+</vt:lpstr>
      <vt:lpstr>Post Release 2015+ (7.0.1+6.7)</vt:lpstr>
      <vt:lpstr>SNApps 2014+</vt:lpstr>
    </vt:vector>
  </TitlesOfParts>
  <Company>Norkom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System Administrator</dc:creator>
  <cp:lastModifiedBy>Finnegan, Ciaran (IE Dublin)</cp:lastModifiedBy>
  <cp:lastPrinted>2010-02-05T15:14:35Z</cp:lastPrinted>
  <dcterms:created xsi:type="dcterms:W3CDTF">2009-07-31T19:26:55Z</dcterms:created>
  <dcterms:modified xsi:type="dcterms:W3CDTF">2020-03-14T12:37:51Z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fc3a9bc8-42af-408c-84ac-156d69d5a0e7</vt:lpwstr>
  </property>
</Properties>
</file>